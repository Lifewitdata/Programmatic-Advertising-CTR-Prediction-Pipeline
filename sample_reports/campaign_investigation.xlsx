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63c4387e148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09d50baf084c4ba5"/>
    <x:sheet xmlns:r="http://schemas.openxmlformats.org/officeDocument/2006/relationships" name="Campaigns" sheetId="2" r:id="R7e0178d83b324682"/>
    <x:sheet xmlns:r="http://schemas.openxmlformats.org/officeDocument/2006/relationships" name="Advertisers" sheetId="3" r:id="R88a0c931b56348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4">
    <x:font>
      <x:sz val="11"/>
      <x:name val="Carlito"/>
    </x:font>
    <x:font>
      <x:sz val="10"/>
      <x:color rgb="FF17243B"/>
      <x:name val="Arial"/>
    </x:font>
    <x:font>
      <x:b/>
      <x:sz val="15"/>
      <x:color rgb="FF17243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43B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0c21f40d174103" /><Relationship Type="http://schemas.openxmlformats.org/officeDocument/2006/relationships/theme" Target="/xl/theme/theme1.xml" Id="Rd4fac2a2aeec4da9" /><Relationship Type="http://schemas.openxmlformats.org/officeDocument/2006/relationships/sharedStrings" Target="/xl/sharedStrings.xml" Id="R64b40edde0eb4f7f" /><Relationship Type="http://schemas.openxmlformats.org/officeDocument/2006/relationships/worksheet" Target="/xl/worksheets/sheet1.xml" Id="R09d50baf084c4ba5" /><Relationship Type="http://schemas.openxmlformats.org/officeDocument/2006/relationships/worksheet" Target="/xl/worksheets/sheet2.xml" Id="R7e0178d83b324682" /><Relationship Type="http://schemas.openxmlformats.org/officeDocument/2006/relationships/worksheet" Target="/xl/worksheets/sheet3.xml" Id="R88a0c931b5634889" /></Relationships>
</file>

<file path=xl/tables/table1.xml><?xml version="1.0" encoding="utf-8"?>
<x:table xmlns:x="http://schemas.openxmlformats.org/spreadsheetml/2006/main" id="1" name="CampaignReview" displayName="CampaignReview" ref="A5:I89" headerRowCount="1" totalsRowCount="0" totalsRowShown="0">
  <x:tableColumns count="9">
    <x:tableColumn id="1" name="Advertiser ID"/>
    <x:tableColumn id="2" name="Campaign ID"/>
    <x:tableColumn id="3" name="Advertiser"/>
    <x:tableColumn id="4" name="Impressions"/>
    <x:tableColumn id="5" name="Clicks"/>
    <x:tableColumn id="6" name="CTR"/>
    <x:tableColumn id="7" name="Review reason"/>
    <x:tableColumn id="8" name="Owner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b90f58357445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4" hidden="0" customWidth="1"/>
    <x:col min="3" max="3" width="17" hidden="0" customWidth="1"/>
    <x:col min="4" max="4" width="2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1" customHeight="1">
      <x:c r="A2" s="2" t="str">
        <x:v>Advertising campaign review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1" customHeight="1">
      <x:c r="A3" s="1" t="str">
        <x:v>Synthetic data. Oct–Dec 2025. UTC. Click attribution: 24 hours.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1" customHeight="1">
      <x:c r="A5" s="1" t="str">
        <x:v>Advertiser ID</x:v>
      </x:c>
      <x:c r="B5" s="3" t="n">
        <x:v>1</x:v>
      </x:c>
      <x:c r="C5" s="1"/>
      <x:c r="D5" s="1"/>
      <x:c r="E5" s="1"/>
      <x:c r="F5" s="1" t="str">
        <x:v>Change the yellow advertiser ID to review another account.</x:v>
      </x:c>
      <x:c r="G5" s="1"/>
      <x:c r="H5" s="1"/>
      <x:c r="I5" s="1"/>
      <x:c r="J5" s="1"/>
    </x:row>
    <x:row r="6" ht="21" customHeight="1">
      <x:c r="A6" s="1"/>
      <x:c r="B6" s="1" t="str">
        <x:f>_xlfn.IFNA(VLOOKUP(B5,Advertisers!$A$5:$B$29,2,FALSE),"Missing advertiser")</x:f>
        <x:v>Synthetic advertiser 1</x:v>
      </x:c>
      <x:c r="C6" s="1"/>
      <x:c r="D6" s="1"/>
      <x:c r="E6" s="1"/>
      <x:c r="F6" s="1"/>
      <x:c r="G6" s="1"/>
      <x:c r="H6" s="1"/>
      <x:c r="I6" s="1"/>
      <x:c r="J6" s="1"/>
    </x:row>
    <x:row r="7" ht="25" customHeight="1">
      <x:c r="A7" s="5" t="str">
        <x:v>Impressions</x:v>
      </x:c>
      <x:c r="B7" s="5" t="str">
        <x:v>Clicks</x:v>
      </x:c>
      <x:c r="C7" s="5" t="str">
        <x:v>CTR</x:v>
      </x:c>
      <x:c r="D7" s="5" t="str">
        <x:v>Campaigns with no clicks</x:v>
      </x:c>
      <x:c r="E7" s="1"/>
      <x:c r="F7" s="1" t="str">
        <x:v>No clicks is a review flag, not proof of wasted spend.</x:v>
      </x:c>
      <x:c r="G7" s="1"/>
      <x:c r="H7" s="1"/>
      <x:c r="I7" s="1"/>
      <x:c r="J7" s="1"/>
    </x:row>
    <x:row r="8" ht="21" customHeight="1">
      <x:c r="A8" s="7" t="n">
        <x:f>SUMIFS(Campaigns!$D$6:$D$89,Campaigns!$A$6:$A$89,$B$5)</x:f>
        <x:v>1525</x:v>
      </x:c>
      <x:c r="B8" s="7" t="n">
        <x:f>SUMIFS(Campaigns!$E$6:$E$89,Campaigns!$A$6:$A$89,$B$5)</x:f>
        <x:v>32</x:v>
      </x:c>
      <x:c r="C8" s="6" t="n">
        <x:f>IF(A8=0,"n.a.",B8/A8)</x:f>
        <x:v>0.02098360655737705</x:v>
      </x:c>
      <x:c r="D8" s="1" t="n">
        <x:f>COUNTIFS(Campaigns!$A$6:$A$89,$B$5,Campaigns!$E$6:$E$89,0)</x:f>
        <x:v>0</x:v>
      </x:c>
      <x:c r="E8" s="1"/>
      <x:c r="F8" s="1"/>
      <x:c r="G8" s="1"/>
      <x:c r="H8" s="1"/>
      <x:c r="I8" s="1"/>
      <x:c r="J8" s="1"/>
    </x:row>
    <x:row r="9" ht="21" customHeight="1">
      <x:c r="A9" s="1"/>
      <x:c r="B9" s="1"/>
      <x:c r="C9" s="1"/>
      <x:c r="D9" s="1"/>
      <x:c r="E9" s="1"/>
      <x:c r="F9" s="1" t="str">
        <x:v>Apply campaign objectives and sample-size checks before acting.</x:v>
      </x:c>
      <x:c r="G9" s="1"/>
      <x:c r="H9" s="1"/>
      <x:c r="I9" s="1"/>
      <x:c r="J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5" customHeight="1">
      <x:c r="A11" s="5" t="str">
        <x:v>Advertiser ID</x:v>
      </x:c>
      <x:c r="B11" s="5" t="str">
        <x:v>Advertiser</x:v>
      </x:c>
      <x:c r="C11" s="5" t="str">
        <x:v>Impressions</x:v>
      </x:c>
      <x:c r="D11" s="5" t="str">
        <x:v>Clicks</x:v>
      </x:c>
      <x:c r="E11" s="5" t="str">
        <x:v>CTR</x:v>
      </x:c>
      <x:c r="F11" s="1"/>
      <x:c r="G11" s="1"/>
      <x:c r="H11" s="1"/>
      <x:c r="I11" s="1"/>
      <x:c r="J11" s="1"/>
    </x:row>
    <x:row r="12" ht="21" customHeight="1">
      <x:c r="A12" s="1" t="n">
        <x:v>1</x:v>
      </x:c>
      <x:c r="B12" s="1" t="str">
        <x:v>Synthetic advertiser 1</x:v>
      </x:c>
      <x:c r="C12" s="1" t="n">
        <x:f>SUMIFS(Campaigns!$D$6:$D$89,Campaigns!$A$6:$A$89,A12)</x:f>
        <x:v>1525</x:v>
      </x:c>
      <x:c r="D12" s="1" t="n">
        <x:f>SUMIFS(Campaigns!$E$6:$E$89,Campaigns!$A$6:$A$89,A12)</x:f>
        <x:v>32</x:v>
      </x:c>
      <x:c r="E12" s="6" t="n">
        <x:f>IF(C12=0,"n.a.",D12/C12)</x:f>
        <x:v>0.02098360655737705</x:v>
      </x:c>
      <x:c r="F12" s="1"/>
      <x:c r="G12" s="1"/>
      <x:c r="H12" s="1"/>
      <x:c r="I12" s="1"/>
      <x:c r="J12" s="1"/>
    </x:row>
    <x:row r="13" ht="21" customHeight="1">
      <x:c r="A13" s="1" t="n">
        <x:v>2</x:v>
      </x:c>
      <x:c r="B13" s="1" t="str">
        <x:v>Synthetic advertiser 2</x:v>
      </x:c>
      <x:c r="C13" s="1" t="n">
        <x:f>SUMIFS(Campaigns!$D$6:$D$89,Campaigns!$A$6:$A$89,A13)</x:f>
        <x:v>1457</x:v>
      </x:c>
      <x:c r="D13" s="1" t="n">
        <x:f>SUMIFS(Campaigns!$E$6:$E$89,Campaigns!$A$6:$A$89,A13)</x:f>
        <x:v>33</x:v>
      </x:c>
      <x:c r="E13" s="6" t="n">
        <x:f>IF(C13=0,"n.a.",D13/C13)</x:f>
        <x:v>0.022649279341111873</x:v>
      </x:c>
      <x:c r="F13" s="1"/>
      <x:c r="G13" s="1"/>
      <x:c r="H13" s="1"/>
      <x:c r="I13" s="1"/>
      <x:c r="J13" s="1"/>
    </x:row>
    <x:row r="14" ht="21" customHeight="1">
      <x:c r="A14" s="1" t="n">
        <x:v>3</x:v>
      </x:c>
      <x:c r="B14" s="1" t="str">
        <x:v>Synthetic advertiser 3</x:v>
      </x:c>
      <x:c r="C14" s="1" t="n">
        <x:f>SUMIFS(Campaigns!$D$6:$D$89,Campaigns!$A$6:$A$89,A14)</x:f>
        <x:v>930</x:v>
      </x:c>
      <x:c r="D14" s="1" t="n">
        <x:f>SUMIFS(Campaigns!$E$6:$E$89,Campaigns!$A$6:$A$89,A14)</x:f>
        <x:v>13</x:v>
      </x:c>
      <x:c r="E14" s="6" t="n">
        <x:f>IF(C14=0,"n.a.",D14/C14)</x:f>
        <x:v>0.013978494623655914</x:v>
      </x:c>
      <x:c r="F14" s="1"/>
      <x:c r="G14" s="1"/>
      <x:c r="H14" s="1"/>
      <x:c r="I14" s="1"/>
      <x:c r="J14" s="1"/>
    </x:row>
    <x:row r="15" ht="21" customHeight="1">
      <x:c r="A15" s="1" t="n">
        <x:v>4</x:v>
      </x:c>
      <x:c r="B15" s="1" t="str">
        <x:v>Synthetic advertiser 4</x:v>
      </x:c>
      <x:c r="C15" s="1" t="n">
        <x:f>SUMIFS(Campaigns!$D$6:$D$89,Campaigns!$A$6:$A$89,A15)</x:f>
        <x:v>595</x:v>
      </x:c>
      <x:c r="D15" s="1" t="n">
        <x:f>SUMIFS(Campaigns!$E$6:$E$89,Campaigns!$A$6:$A$89,A15)</x:f>
        <x:v>12</x:v>
      </x:c>
      <x:c r="E15" s="6" t="n">
        <x:f>IF(C15=0,"n.a.",D15/C15)</x:f>
        <x:v>0.020168067226890758</x:v>
      </x:c>
      <x:c r="F15" s="1"/>
      <x:c r="G15" s="1"/>
      <x:c r="H15" s="1"/>
      <x:c r="I15" s="1"/>
      <x:c r="J15" s="1"/>
    </x:row>
    <x:row r="16" ht="21" customHeight="1">
      <x:c r="A16" s="1" t="n">
        <x:v>5</x:v>
      </x:c>
      <x:c r="B16" s="1" t="str">
        <x:v>Synthetic advertiser 5</x:v>
      </x:c>
      <x:c r="C16" s="1" t="n">
        <x:f>SUMIFS(Campaigns!$D$6:$D$89,Campaigns!$A$6:$A$89,A16)</x:f>
        <x:v>1375</x:v>
      </x:c>
      <x:c r="D16" s="1" t="n">
        <x:f>SUMIFS(Campaigns!$E$6:$E$89,Campaigns!$A$6:$A$89,A16)</x:f>
        <x:v>22</x:v>
      </x:c>
      <x:c r="E16" s="6" t="n">
        <x:f>IF(C16=0,"n.a.",D16/C16)</x:f>
        <x:v>0.016</x:v>
      </x:c>
      <x:c r="F16" s="1"/>
      <x:c r="G16" s="1"/>
      <x:c r="H16" s="1"/>
      <x:c r="I16" s="1"/>
      <x:c r="J16" s="1"/>
    </x:row>
    <x:row r="17" ht="21" customHeight="1">
      <x:c r="A17" s="1" t="n">
        <x:v>6</x:v>
      </x:c>
      <x:c r="B17" s="1" t="str">
        <x:v>Synthetic advertiser 6</x:v>
      </x:c>
      <x:c r="C17" s="1" t="n">
        <x:f>SUMIFS(Campaigns!$D$6:$D$89,Campaigns!$A$6:$A$89,A17)</x:f>
        <x:v>1342</x:v>
      </x:c>
      <x:c r="D17" s="1" t="n">
        <x:f>SUMIFS(Campaigns!$E$6:$E$89,Campaigns!$A$6:$A$89,A17)</x:f>
        <x:v>37</x:v>
      </x:c>
      <x:c r="E17" s="6" t="n">
        <x:f>IF(C17=0,"n.a.",D17/C17)</x:f>
        <x:v>0.027570789865871834</x:v>
      </x:c>
      <x:c r="F17" s="1"/>
      <x:c r="G17" s="1"/>
      <x:c r="H17" s="1"/>
      <x:c r="I17" s="1"/>
      <x:c r="J17" s="1"/>
    </x:row>
    <x:row r="18" ht="21" customHeight="1">
      <x:c r="A18" s="1" t="n">
        <x:v>7</x:v>
      </x:c>
      <x:c r="B18" s="1" t="str">
        <x:v>Synthetic advertiser 7</x:v>
      </x:c>
      <x:c r="C18" s="1" t="n">
        <x:f>SUMIFS(Campaigns!$D$6:$D$89,Campaigns!$A$6:$A$89,A18)</x:f>
        <x:v>716</x:v>
      </x:c>
      <x:c r="D18" s="1" t="n">
        <x:f>SUMIFS(Campaigns!$E$6:$E$89,Campaigns!$A$6:$A$89,A18)</x:f>
        <x:v>14</x:v>
      </x:c>
      <x:c r="E18" s="6" t="n">
        <x:f>IF(C18=0,"n.a.",D18/C18)</x:f>
        <x:v>0.019553072625698324</x:v>
      </x:c>
      <x:c r="F18" s="1"/>
      <x:c r="G18" s="1"/>
      <x:c r="H18" s="1"/>
      <x:c r="I18" s="1"/>
      <x:c r="J18" s="1"/>
    </x:row>
    <x:row r="19" ht="21" customHeight="1">
      <x:c r="A19" s="1" t="n">
        <x:v>8</x:v>
      </x:c>
      <x:c r="B19" s="1" t="str">
        <x:v>Synthetic advertiser 8</x:v>
      </x:c>
      <x:c r="C19" s="1" t="n">
        <x:f>SUMIFS(Campaigns!$D$6:$D$89,Campaigns!$A$6:$A$89,A19)</x:f>
        <x:v>841</x:v>
      </x:c>
      <x:c r="D19" s="1" t="n">
        <x:f>SUMIFS(Campaigns!$E$6:$E$89,Campaigns!$A$6:$A$89,A19)</x:f>
        <x:v>12</x:v>
      </x:c>
      <x:c r="E19" s="6" t="n">
        <x:f>IF(C19=0,"n.a.",D19/C19)</x:f>
        <x:v>0.014268727705112961</x:v>
      </x:c>
      <x:c r="F19" s="1"/>
      <x:c r="G19" s="1"/>
      <x:c r="H19" s="1"/>
      <x:c r="I19" s="1"/>
      <x:c r="J19" s="1"/>
    </x:row>
    <x:row r="20" ht="21" customHeight="1">
      <x:c r="A20" s="1" t="n">
        <x:v>9</x:v>
      </x:c>
      <x:c r="B20" s="1" t="str">
        <x:v>Synthetic advertiser 9</x:v>
      </x:c>
      <x:c r="C20" s="1" t="n">
        <x:f>SUMIFS(Campaigns!$D$6:$D$89,Campaigns!$A$6:$A$89,A20)</x:f>
        <x:v>1174</x:v>
      </x:c>
      <x:c r="D20" s="1" t="n">
        <x:f>SUMIFS(Campaigns!$E$6:$E$89,Campaigns!$A$6:$A$89,A20)</x:f>
        <x:v>29</x:v>
      </x:c>
      <x:c r="E20" s="6" t="n">
        <x:f>IF(C20=0,"n.a.",D20/C20)</x:f>
        <x:v>0.024701873935264053</x:v>
      </x:c>
      <x:c r="F20" s="1"/>
      <x:c r="G20" s="1"/>
      <x:c r="H20" s="1"/>
      <x:c r="I20" s="1"/>
      <x:c r="J20" s="1"/>
    </x:row>
    <x:row r="21" ht="21" customHeight="1">
      <x:c r="A21" s="1" t="n">
        <x:v>10</x:v>
      </x:c>
      <x:c r="B21" s="1" t="str">
        <x:v>Synthetic advertiser 10</x:v>
      </x:c>
      <x:c r="C21" s="1" t="n">
        <x:f>SUMIFS(Campaigns!$D$6:$D$89,Campaigns!$A$6:$A$89,A21)</x:f>
        <x:v>1519</x:v>
      </x:c>
      <x:c r="D21" s="1" t="n">
        <x:f>SUMIFS(Campaigns!$E$6:$E$89,Campaigns!$A$6:$A$89,A21)</x:f>
        <x:v>29</x:v>
      </x:c>
      <x:c r="E21" s="6" t="n">
        <x:f>IF(C21=0,"n.a.",D21/C21)</x:f>
        <x:v>0.019091507570770244</x:v>
      </x:c>
      <x:c r="F21" s="1"/>
      <x:c r="G21" s="1"/>
      <x:c r="H21" s="1"/>
      <x:c r="I21" s="1"/>
      <x:c r="J21" s="1"/>
    </x:row>
    <x:row r="22" ht="21" customHeight="1">
      <x:c r="A22" s="1" t="n">
        <x:v>11</x:v>
      </x:c>
      <x:c r="B22" s="1" t="str">
        <x:v>Synthetic advertiser 11</x:v>
      </x:c>
      <x:c r="C22" s="1" t="n">
        <x:f>SUMIFS(Campaigns!$D$6:$D$89,Campaigns!$A$6:$A$89,A22)</x:f>
        <x:v>1857</x:v>
      </x:c>
      <x:c r="D22" s="1" t="n">
        <x:f>SUMIFS(Campaigns!$E$6:$E$89,Campaigns!$A$6:$A$89,A22)</x:f>
        <x:v>47</x:v>
      </x:c>
      <x:c r="E22" s="6" t="n">
        <x:f>IF(C22=0,"n.a.",D22/C22)</x:f>
        <x:v>0.025309639203015617</x:v>
      </x:c>
      <x:c r="F22" s="1"/>
      <x:c r="G22" s="1"/>
      <x:c r="H22" s="1"/>
      <x:c r="I22" s="1"/>
      <x:c r="J22" s="1"/>
    </x:row>
    <x:row r="23" ht="21" customHeight="1">
      <x:c r="A23" s="1" t="n">
        <x:v>12</x:v>
      </x:c>
      <x:c r="B23" s="1" t="str">
        <x:v>Synthetic advertiser 12</x:v>
      </x:c>
      <x:c r="C23" s="1" t="n">
        <x:f>SUMIFS(Campaigns!$D$6:$D$89,Campaigns!$A$6:$A$89,A23)</x:f>
        <x:v>366</x:v>
      </x:c>
      <x:c r="D23" s="1" t="n">
        <x:f>SUMIFS(Campaigns!$E$6:$E$89,Campaigns!$A$6:$A$89,A23)</x:f>
        <x:v>7</x:v>
      </x:c>
      <x:c r="E23" s="6" t="n">
        <x:f>IF(C23=0,"n.a.",D23/C23)</x:f>
        <x:v>0.01912568306010929</x:v>
      </x:c>
      <x:c r="F23" s="1"/>
      <x:c r="G23" s="1"/>
      <x:c r="H23" s="1"/>
      <x:c r="I23" s="1"/>
      <x:c r="J23" s="1"/>
    </x:row>
    <x:row r="24" ht="21" customHeight="1">
      <x:c r="A24" s="1" t="n">
        <x:v>13</x:v>
      </x:c>
      <x:c r="B24" s="1" t="str">
        <x:v>Synthetic advertiser 13</x:v>
      </x:c>
      <x:c r="C24" s="1" t="n">
        <x:f>SUMIFS(Campaigns!$D$6:$D$89,Campaigns!$A$6:$A$89,A24)</x:f>
        <x:v>1035</x:v>
      </x:c>
      <x:c r="D24" s="1" t="n">
        <x:f>SUMIFS(Campaigns!$E$6:$E$89,Campaigns!$A$6:$A$89,A24)</x:f>
        <x:v>17</x:v>
      </x:c>
      <x:c r="E24" s="6" t="n">
        <x:f>IF(C24=0,"n.a.",D24/C24)</x:f>
        <x:v>0.01642512077294686</x:v>
      </x:c>
      <x:c r="F24" s="1"/>
      <x:c r="G24" s="1"/>
      <x:c r="H24" s="1"/>
      <x:c r="I24" s="1"/>
      <x:c r="J24" s="1"/>
    </x:row>
    <x:row r="25" ht="21" customHeight="1">
      <x:c r="A25" s="1" t="n">
        <x:v>14</x:v>
      </x:c>
      <x:c r="B25" s="1" t="str">
        <x:v>Synthetic advertiser 14</x:v>
      </x:c>
      <x:c r="C25" s="1" t="n">
        <x:f>SUMIFS(Campaigns!$D$6:$D$89,Campaigns!$A$6:$A$89,A25)</x:f>
        <x:v>967</x:v>
      </x:c>
      <x:c r="D25" s="1" t="n">
        <x:f>SUMIFS(Campaigns!$E$6:$E$89,Campaigns!$A$6:$A$89,A25)</x:f>
        <x:v>24</x:v>
      </x:c>
      <x:c r="E25" s="6" t="n">
        <x:f>IF(C25=0,"n.a.",D25/C25)</x:f>
        <x:v>0.02481902792140641</x:v>
      </x:c>
      <x:c r="F25" s="1"/>
      <x:c r="G25" s="1"/>
      <x:c r="H25" s="1"/>
      <x:c r="I25" s="1"/>
      <x:c r="J25" s="1"/>
    </x:row>
    <x:row r="26" ht="21" customHeight="1">
      <x:c r="A26" s="1" t="n">
        <x:v>15</x:v>
      </x:c>
      <x:c r="B26" s="1" t="str">
        <x:v>Synthetic advertiser 15</x:v>
      </x:c>
      <x:c r="C26" s="1" t="n">
        <x:f>SUMIFS(Campaigns!$D$6:$D$89,Campaigns!$A$6:$A$89,A26)</x:f>
        <x:v>216</x:v>
      </x:c>
      <x:c r="D26" s="1" t="n">
        <x:f>SUMIFS(Campaigns!$E$6:$E$89,Campaigns!$A$6:$A$89,A26)</x:f>
        <x:v>5</x:v>
      </x:c>
      <x:c r="E26" s="6" t="n">
        <x:f>IF(C26=0,"n.a.",D26/C26)</x:f>
        <x:v>0.023148148148148147</x:v>
      </x:c>
      <x:c r="F26" s="1"/>
      <x:c r="G26" s="1"/>
      <x:c r="H26" s="1"/>
      <x:c r="I26" s="1"/>
      <x:c r="J26" s="1"/>
    </x:row>
    <x:row r="27" ht="21" customHeight="1">
      <x:c r="A27" s="1" t="n">
        <x:v>16</x:v>
      </x:c>
      <x:c r="B27" s="1" t="str">
        <x:v>Synthetic advertiser 16</x:v>
      </x:c>
      <x:c r="C27" s="1" t="n">
        <x:f>SUMIFS(Campaigns!$D$6:$D$89,Campaigns!$A$6:$A$89,A27)</x:f>
        <x:v>127</x:v>
      </x:c>
      <x:c r="D27" s="1" t="n">
        <x:f>SUMIFS(Campaigns!$E$6:$E$89,Campaigns!$A$6:$A$89,A27)</x:f>
        <x:v>2</x:v>
      </x:c>
      <x:c r="E27" s="6" t="n">
        <x:f>IF(C27=0,"n.a.",D27/C27)</x:f>
        <x:v>0.015748031496062992</x:v>
      </x:c>
      <x:c r="F27" s="1"/>
      <x:c r="G27" s="1"/>
      <x:c r="H27" s="1"/>
      <x:c r="I27" s="1"/>
      <x:c r="J27" s="1"/>
    </x:row>
    <x:row r="28" ht="21" customHeight="1">
      <x:c r="A28" s="1" t="n">
        <x:v>17</x:v>
      </x:c>
      <x:c r="B28" s="1" t="str">
        <x:v>Synthetic advertiser 17</x:v>
      </x:c>
      <x:c r="C28" s="1" t="n">
        <x:f>SUMIFS(Campaigns!$D$6:$D$89,Campaigns!$A$6:$A$89,A28)</x:f>
        <x:v>846</x:v>
      </x:c>
      <x:c r="D28" s="1" t="n">
        <x:f>SUMIFS(Campaigns!$E$6:$E$89,Campaigns!$A$6:$A$89,A28)</x:f>
        <x:v>21</x:v>
      </x:c>
      <x:c r="E28" s="6" t="n">
        <x:f>IF(C28=0,"n.a.",D28/C28)</x:f>
        <x:v>0.024822695035460994</x:v>
      </x:c>
      <x:c r="F28" s="1"/>
      <x:c r="G28" s="1"/>
      <x:c r="H28" s="1"/>
      <x:c r="I28" s="1"/>
      <x:c r="J28" s="1"/>
    </x:row>
    <x:row r="29" ht="21" customHeight="1">
      <x:c r="A29" s="1" t="n">
        <x:v>18</x:v>
      </x:c>
      <x:c r="B29" s="1" t="str">
        <x:v>Synthetic advertiser 18</x:v>
      </x:c>
      <x:c r="C29" s="1" t="n">
        <x:f>SUMIFS(Campaigns!$D$6:$D$89,Campaigns!$A$6:$A$89,A29)</x:f>
        <x:v>1675</x:v>
      </x:c>
      <x:c r="D29" s="1" t="n">
        <x:f>SUMIFS(Campaigns!$E$6:$E$89,Campaigns!$A$6:$A$89,A29)</x:f>
        <x:v>24</x:v>
      </x:c>
      <x:c r="E29" s="6" t="n">
        <x:f>IF(C29=0,"n.a.",D29/C29)</x:f>
        <x:v>0.014328358208955224</x:v>
      </x:c>
      <x:c r="F29" s="1"/>
      <x:c r="G29" s="1"/>
      <x:c r="H29" s="1"/>
      <x:c r="I29" s="1"/>
      <x:c r="J29" s="1"/>
    </x:row>
    <x:row r="30" ht="21" customHeight="1">
      <x:c r="A30" s="1" t="n">
        <x:v>19</x:v>
      </x:c>
      <x:c r="B30" s="1" t="str">
        <x:v>Synthetic advertiser 19</x:v>
      </x:c>
      <x:c r="C30" s="1" t="n">
        <x:f>SUMIFS(Campaigns!$D$6:$D$89,Campaigns!$A$6:$A$89,A30)</x:f>
        <x:v>1587</x:v>
      </x:c>
      <x:c r="D30" s="1" t="n">
        <x:f>SUMIFS(Campaigns!$E$6:$E$89,Campaigns!$A$6:$A$89,A30)</x:f>
        <x:v>31</x:v>
      </x:c>
      <x:c r="E30" s="6" t="n">
        <x:f>IF(C30=0,"n.a.",D30/C30)</x:f>
        <x:v>0.019533711405166982</x:v>
      </x:c>
      <x:c r="F30" s="1"/>
      <x:c r="G30" s="1"/>
      <x:c r="H30" s="1"/>
      <x:c r="I30" s="1"/>
      <x:c r="J30" s="1"/>
    </x:row>
    <x:row r="31" ht="21" customHeight="1">
      <x:c r="A31" s="1" t="n">
        <x:v>20</x:v>
      </x:c>
      <x:c r="B31" s="1" t="str">
        <x:v>Synthetic advertiser 20</x:v>
      </x:c>
      <x:c r="C31" s="1" t="n">
        <x:f>SUMIFS(Campaigns!$D$6:$D$89,Campaigns!$A$6:$A$89,A31)</x:f>
        <x:v>355</x:v>
      </x:c>
      <x:c r="D31" s="1" t="n">
        <x:f>SUMIFS(Campaigns!$E$6:$E$89,Campaigns!$A$6:$A$89,A31)</x:f>
        <x:v>12</x:v>
      </x:c>
      <x:c r="E31" s="6" t="n">
        <x:f>IF(C31=0,"n.a.",D31/C31)</x:f>
        <x:v>0.03380281690140845</x:v>
      </x:c>
      <x:c r="F31" s="1"/>
      <x:c r="G31" s="1"/>
      <x:c r="H31" s="1"/>
      <x:c r="I31" s="1"/>
      <x:c r="J31" s="1"/>
    </x:row>
    <x:row r="32" ht="21" customHeight="1">
      <x:c r="A32" s="1" t="n">
        <x:v>21</x:v>
      </x:c>
      <x:c r="B32" s="1" t="str">
        <x:v>Synthetic advertiser 21</x:v>
      </x:c>
      <x:c r="C32" s="1" t="n">
        <x:f>SUMIFS(Campaigns!$D$6:$D$89,Campaigns!$A$6:$A$89,A32)</x:f>
        <x:v>1054</x:v>
      </x:c>
      <x:c r="D32" s="1" t="n">
        <x:f>SUMIFS(Campaigns!$E$6:$E$89,Campaigns!$A$6:$A$89,A32)</x:f>
        <x:v>12</x:v>
      </x:c>
      <x:c r="E32" s="6" t="n">
        <x:f>IF(C32=0,"n.a.",D32/C32)</x:f>
        <x:v>0.011385199240986717</x:v>
      </x:c>
      <x:c r="F32" s="1"/>
      <x:c r="G32" s="1"/>
      <x:c r="H32" s="1"/>
      <x:c r="I32" s="1"/>
      <x:c r="J32" s="1"/>
    </x:row>
    <x:row r="33" ht="21" customHeight="1">
      <x:c r="A33" s="1" t="n">
        <x:v>22</x:v>
      </x:c>
      <x:c r="B33" s="1" t="str">
        <x:v>Synthetic advertiser 22</x:v>
      </x:c>
      <x:c r="C33" s="1" t="n">
        <x:f>SUMIFS(Campaigns!$D$6:$D$89,Campaigns!$A$6:$A$89,A33)</x:f>
        <x:v>718</x:v>
      </x:c>
      <x:c r="D33" s="1" t="n">
        <x:f>SUMIFS(Campaigns!$E$6:$E$89,Campaigns!$A$6:$A$89,A33)</x:f>
        <x:v>11</x:v>
      </x:c>
      <x:c r="E33" s="6" t="n">
        <x:f>IF(C33=0,"n.a.",D33/C33)</x:f>
        <x:v>0.01532033426183844</x:v>
      </x:c>
      <x:c r="F33" s="1"/>
      <x:c r="G33" s="1"/>
      <x:c r="H33" s="1"/>
      <x:c r="I33" s="1"/>
      <x:c r="J33" s="1"/>
    </x:row>
    <x:row r="34" ht="21" customHeight="1">
      <x:c r="A34" s="1" t="n">
        <x:v>23</x:v>
      </x:c>
      <x:c r="B34" s="1" t="str">
        <x:v>Synthetic advertiser 23</x:v>
      </x:c>
      <x:c r="C34" s="1" t="n">
        <x:f>SUMIFS(Campaigns!$D$6:$D$89,Campaigns!$A$6:$A$89,A34)</x:f>
        <x:v>1774</x:v>
      </x:c>
      <x:c r="D34" s="1" t="n">
        <x:f>SUMIFS(Campaigns!$E$6:$E$89,Campaigns!$A$6:$A$89,A34)</x:f>
        <x:v>26</x:v>
      </x:c>
      <x:c r="E34" s="6" t="n">
        <x:f>IF(C34=0,"n.a.",D34/C34)</x:f>
        <x:v>0.014656144306651634</x:v>
      </x:c>
      <x:c r="F34" s="1"/>
      <x:c r="G34" s="1"/>
      <x:c r="H34" s="1"/>
      <x:c r="I34" s="1"/>
      <x:c r="J34" s="1"/>
    </x:row>
    <x:row r="35" ht="21" customHeight="1">
      <x:c r="A35" s="1" t="n">
        <x:v>24</x:v>
      </x:c>
      <x:c r="B35" s="1" t="str">
        <x:v>Synthetic advertiser 24</x:v>
      </x:c>
      <x:c r="C35" s="1" t="n">
        <x:f>SUMIFS(Campaigns!$D$6:$D$89,Campaigns!$A$6:$A$89,A35)</x:f>
        <x:v>367</x:v>
      </x:c>
      <x:c r="D35" s="1" t="n">
        <x:f>SUMIFS(Campaigns!$E$6:$E$89,Campaigns!$A$6:$A$89,A35)</x:f>
        <x:v>5</x:v>
      </x:c>
      <x:c r="E35" s="6" t="n">
        <x:f>IF(C35=0,"n.a.",D35/C35)</x:f>
        <x:v>0.013623978201634877</x:v>
      </x:c>
      <x:c r="F35" s="1"/>
      <x:c r="G35" s="1"/>
      <x:c r="H35" s="1"/>
      <x:c r="I35" s="1"/>
      <x:c r="J35" s="1"/>
    </x:row>
    <x:row r="36" ht="21" customHeight="1">
      <x:c r="A36" s="1" t="n">
        <x:v>25</x:v>
      </x:c>
      <x:c r="B36" s="1" t="str">
        <x:v>Synthetic advertiser 25</x:v>
      </x:c>
      <x:c r="C36" s="1" t="n">
        <x:f>SUMIFS(Campaigns!$D$6:$D$89,Campaigns!$A$6:$A$89,A36)</x:f>
        <x:v>582</x:v>
      </x:c>
      <x:c r="D36" s="1" t="n">
        <x:f>SUMIFS(Campaigns!$E$6:$E$89,Campaigns!$A$6:$A$89,A36)</x:f>
        <x:v>16</x:v>
      </x:c>
      <x:c r="E36" s="6" t="n">
        <x:f>IF(C36=0,"n.a.",D36/C36)</x:f>
        <x:v>0.027491408934707903</x:v>
      </x:c>
      <x:c r="F36" s="1"/>
      <x:c r="G36" s="1"/>
      <x:c r="H36" s="1"/>
      <x:c r="I36" s="1"/>
      <x:c r="J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 ht="21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 ht="21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 ht="21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 ht="21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 ht="21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 ht="21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 ht="21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 ht="21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 ht="21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 ht="21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 ht="21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 ht="21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 ht="21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 ht="21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 ht="21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 ht="21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 ht="21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 ht="21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 ht="21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 ht="21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r="101" ht="21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</x:row>
    <x:row r="102" ht="21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 ht="21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 ht="21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 ht="21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 ht="21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 ht="21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 ht="21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 ht="21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 ht="21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</x:sheetData>
  <x:dataValidations count="1">
    <x:dataValidation type="list" sqref="B5">
      <x:formula1>Advertisers!$A$5:$A$29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80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1" customHeight="1">
      <x:c r="A2" s="2" t="str">
        <x:v>Campaign observations and investigation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1" customHeight="1">
      <x:c r="A3" s="1" t="str">
        <x:v>Source: generated campaign_review.csv. Each row is one advertiser/campaign.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5" customHeight="1">
      <x:c r="A5" s="5" t="str">
        <x:v>Advertiser ID</x:v>
      </x:c>
      <x:c r="B5" s="5" t="str">
        <x:v>Campaign ID</x:v>
      </x:c>
      <x:c r="C5" s="5" t="str">
        <x:v>Advertiser</x:v>
      </x:c>
      <x:c r="D5" s="5" t="str">
        <x:v>Impressions</x:v>
      </x:c>
      <x:c r="E5" s="5" t="str">
        <x:v>Clicks</x:v>
      </x:c>
      <x:c r="F5" s="5" t="str">
        <x:v>CTR</x:v>
      </x:c>
      <x:c r="G5" s="5" t="str">
        <x:v>Review reason</x:v>
      </x:c>
      <x:c r="H5" s="5" t="str">
        <x:v>Owner</x:v>
      </x:c>
      <x:c r="I5" s="5" t="str">
        <x:v>Status</x:v>
      </x:c>
      <x:c r="J5" s="1"/>
    </x:row>
    <x:row r="6" ht="21" customHeight="1">
      <x:c r="A6" s="1" t="n">
        <x:v>1</x:v>
      </x:c>
      <x:c r="B6" s="1" t="n">
        <x:v>1</x:v>
      </x:c>
      <x:c r="C6" s="1" t="str">
        <x:f>_xlfn.IFNA(VLOOKUP(A6,Advertisers!$A$5:$B$29,2,FALSE),"Missing advertiser")</x:f>
        <x:v>Synthetic advertiser 1</x:v>
      </x:c>
      <x:c r="D6" s="7" t="n">
        <x:v>340</x:v>
      </x:c>
      <x:c r="E6" s="7" t="n">
        <x:v>8</x:v>
      </x:c>
      <x:c r="F6" s="6" t="n">
        <x:f>IF(D6=0,"n.a.",E6/D6)</x:f>
        <x:v>0.023529411764705882</x:v>
      </x:c>
      <x:c r="G6" s="1" t="str">
        <x:v>Review with confidence interval and campaign objective</x:v>
      </x:c>
      <x:c r="H6" s="3"/>
      <x:c r="I6" s="3" t="str">
        <x:v>Unreviewed</x:v>
      </x:c>
      <x:c r="J6" s="1"/>
    </x:row>
    <x:row r="7" ht="21" customHeight="1">
      <x:c r="A7" s="1" t="n">
        <x:v>1</x:v>
      </x:c>
      <x:c r="B7" s="1" t="n">
        <x:v>2</x:v>
      </x:c>
      <x:c r="C7" s="1" t="str">
        <x:f>_xlfn.IFNA(VLOOKUP(A7,Advertisers!$A$5:$B$29,2,FALSE),"Missing advertiser")</x:f>
        <x:v>Synthetic advertiser 1</x:v>
      </x:c>
      <x:c r="D7" s="7" t="n">
        <x:v>248</x:v>
      </x:c>
      <x:c r="E7" s="7" t="n">
        <x:v>2</x:v>
      </x:c>
      <x:c r="F7" s="6" t="n">
        <x:f>IF(D7=0,"n.a.",E7/D7)</x:f>
        <x:v>0.008064516129032258</x:v>
      </x:c>
      <x:c r="G7" s="1" t="str">
        <x:v>Review with confidence interval and campaign objective</x:v>
      </x:c>
      <x:c r="H7" s="3"/>
      <x:c r="I7" s="3" t="str">
        <x:v>Unreviewed</x:v>
      </x:c>
      <x:c r="J7" s="1"/>
    </x:row>
    <x:row r="8" ht="21" customHeight="1">
      <x:c r="A8" s="1" t="n">
        <x:v>1</x:v>
      </x:c>
      <x:c r="B8" s="1" t="n">
        <x:v>3</x:v>
      </x:c>
      <x:c r="C8" s="1" t="str">
        <x:f>_xlfn.IFNA(VLOOKUP(A8,Advertisers!$A$5:$B$29,2,FALSE),"Missing advertiser")</x:f>
        <x:v>Synthetic advertiser 1</x:v>
      </x:c>
      <x:c r="D8" s="7" t="n">
        <x:v>222</x:v>
      </x:c>
      <x:c r="E8" s="7" t="n">
        <x:v>4</x:v>
      </x:c>
      <x:c r="F8" s="6" t="n">
        <x:f>IF(D8=0,"n.a.",E8/D8)</x:f>
        <x:v>0.018018018018018018</x:v>
      </x:c>
      <x:c r="G8" s="1" t="str">
        <x:v>Review with confidence interval and campaign objective</x:v>
      </x:c>
      <x:c r="H8" s="3"/>
      <x:c r="I8" s="3" t="str">
        <x:v>Unreviewed</x:v>
      </x:c>
      <x:c r="J8" s="1"/>
    </x:row>
    <x:row r="9" ht="21" customHeight="1">
      <x:c r="A9" s="1" t="n">
        <x:v>1</x:v>
      </x:c>
      <x:c r="B9" s="1" t="n">
        <x:v>4</x:v>
      </x:c>
      <x:c r="C9" s="1" t="str">
        <x:f>_xlfn.IFNA(VLOOKUP(A9,Advertisers!$A$5:$B$29,2,FALSE),"Missing advertiser")</x:f>
        <x:v>Synthetic advertiser 1</x:v>
      </x:c>
      <x:c r="D9" s="7" t="n">
        <x:v>242</x:v>
      </x:c>
      <x:c r="E9" s="7" t="n">
        <x:v>5</x:v>
      </x:c>
      <x:c r="F9" s="6" t="n">
        <x:f>IF(D9=0,"n.a.",E9/D9)</x:f>
        <x:v>0.02066115702479339</x:v>
      </x:c>
      <x:c r="G9" s="1" t="str">
        <x:v>Review with confidence interval and campaign objective</x:v>
      </x:c>
      <x:c r="H9" s="3"/>
      <x:c r="I9" s="3" t="str">
        <x:v>Unreviewed</x:v>
      </x:c>
      <x:c r="J9" s="1"/>
    </x:row>
    <x:row r="10" ht="21" customHeight="1">
      <x:c r="A10" s="1" t="n">
        <x:v>1</x:v>
      </x:c>
      <x:c r="B10" s="1" t="n">
        <x:v>5</x:v>
      </x:c>
      <x:c r="C10" s="1" t="str">
        <x:f>_xlfn.IFNA(VLOOKUP(A10,Advertisers!$A$5:$B$29,2,FALSE),"Missing advertiser")</x:f>
        <x:v>Synthetic advertiser 1</x:v>
      </x:c>
      <x:c r="D10" s="7" t="n">
        <x:v>473</x:v>
      </x:c>
      <x:c r="E10" s="7" t="n">
        <x:v>13</x:v>
      </x:c>
      <x:c r="F10" s="6" t="n">
        <x:f>IF(D10=0,"n.a.",E10/D10)</x:f>
        <x:v>0.02748414376321353</x:v>
      </x:c>
      <x:c r="G10" s="1" t="str">
        <x:v>Review with confidence interval and campaign objective</x:v>
      </x:c>
      <x:c r="H10" s="3"/>
      <x:c r="I10" s="3" t="str">
        <x:v>Unreviewed</x:v>
      </x:c>
      <x:c r="J10" s="1"/>
    </x:row>
    <x:row r="11" ht="21" customHeight="1">
      <x:c r="A11" s="1" t="n">
        <x:v>2</x:v>
      </x:c>
      <x:c r="B11" s="1" t="n">
        <x:v>6</x:v>
      </x:c>
      <x:c r="C11" s="1" t="str">
        <x:f>_xlfn.IFNA(VLOOKUP(A11,Advertisers!$A$5:$B$29,2,FALSE),"Missing advertiser")</x:f>
        <x:v>Synthetic advertiser 2</x:v>
      </x:c>
      <x:c r="D11" s="7" t="n">
        <x:v>370</x:v>
      </x:c>
      <x:c r="E11" s="7" t="n">
        <x:v>10</x:v>
      </x:c>
      <x:c r="F11" s="6" t="n">
        <x:f>IF(D11=0,"n.a.",E11/D11)</x:f>
        <x:v>0.02702702702702703</x:v>
      </x:c>
      <x:c r="G11" s="1" t="str">
        <x:v>Review with confidence interval and campaign objective</x:v>
      </x:c>
      <x:c r="H11" s="3"/>
      <x:c r="I11" s="3" t="str">
        <x:v>Unreviewed</x:v>
      </x:c>
      <x:c r="J11" s="1"/>
    </x:row>
    <x:row r="12" ht="21" customHeight="1">
      <x:c r="A12" s="1" t="n">
        <x:v>2</x:v>
      </x:c>
      <x:c r="B12" s="1" t="n">
        <x:v>7</x:v>
      </x:c>
      <x:c r="C12" s="1" t="str">
        <x:f>_xlfn.IFNA(VLOOKUP(A12,Advertisers!$A$5:$B$29,2,FALSE),"Missing advertiser")</x:f>
        <x:v>Synthetic advertiser 2</x:v>
      </x:c>
      <x:c r="D12" s="7" t="n">
        <x:v>118</x:v>
      </x:c>
      <x:c r="E12" s="7" t="n">
        <x:v>0</x:v>
      </x:c>
      <x:c r="F12" s="6" t="n">
        <x:f>IF(D12=0,"n.a.",E12/D12)</x:f>
        <x:v>0</x:v>
      </x:c>
      <x:c r="G12" s="1" t="str">
        <x:v>No observed clicks; investigate sample size</x:v>
      </x:c>
      <x:c r="H12" s="3"/>
      <x:c r="I12" s="3" t="str">
        <x:v>Unreviewed</x:v>
      </x:c>
      <x:c r="J12" s="1"/>
    </x:row>
    <x:row r="13" ht="21" customHeight="1">
      <x:c r="A13" s="1" t="n">
        <x:v>2</x:v>
      </x:c>
      <x:c r="B13" s="1" t="n">
        <x:v>8</x:v>
      </x:c>
      <x:c r="C13" s="1" t="str">
        <x:f>_xlfn.IFNA(VLOOKUP(A13,Advertisers!$A$5:$B$29,2,FALSE),"Missing advertiser")</x:f>
        <x:v>Synthetic advertiser 2</x:v>
      </x:c>
      <x:c r="D13" s="7" t="n">
        <x:v>255</x:v>
      </x:c>
      <x:c r="E13" s="7" t="n">
        <x:v>7</x:v>
      </x:c>
      <x:c r="F13" s="6" t="n">
        <x:f>IF(D13=0,"n.a.",E13/D13)</x:f>
        <x:v>0.027450980392156862</x:v>
      </x:c>
      <x:c r="G13" s="1" t="str">
        <x:v>Review with confidence interval and campaign objective</x:v>
      </x:c>
      <x:c r="H13" s="3"/>
      <x:c r="I13" s="3" t="str">
        <x:v>Unreviewed</x:v>
      </x:c>
      <x:c r="J13" s="1"/>
    </x:row>
    <x:row r="14" ht="21" customHeight="1">
      <x:c r="A14" s="1" t="n">
        <x:v>2</x:v>
      </x:c>
      <x:c r="B14" s="1" t="n">
        <x:v>9</x:v>
      </x:c>
      <x:c r="C14" s="1" t="str">
        <x:f>_xlfn.IFNA(VLOOKUP(A14,Advertisers!$A$5:$B$29,2,FALSE),"Missing advertiser")</x:f>
        <x:v>Synthetic advertiser 2</x:v>
      </x:c>
      <x:c r="D14" s="7" t="n">
        <x:v>242</x:v>
      </x:c>
      <x:c r="E14" s="7" t="n">
        <x:v>4</x:v>
      </x:c>
      <x:c r="F14" s="6" t="n">
        <x:f>IF(D14=0,"n.a.",E14/D14)</x:f>
        <x:v>0.01652892561983471</x:v>
      </x:c>
      <x:c r="G14" s="1" t="str">
        <x:v>Review with confidence interval and campaign objective</x:v>
      </x:c>
      <x:c r="H14" s="3"/>
      <x:c r="I14" s="3" t="str">
        <x:v>Unreviewed</x:v>
      </x:c>
      <x:c r="J14" s="1"/>
    </x:row>
    <x:row r="15" ht="21" customHeight="1">
      <x:c r="A15" s="1" t="n">
        <x:v>2</x:v>
      </x:c>
      <x:c r="B15" s="1" t="n">
        <x:v>10</x:v>
      </x:c>
      <x:c r="C15" s="1" t="str">
        <x:f>_xlfn.IFNA(VLOOKUP(A15,Advertisers!$A$5:$B$29,2,FALSE),"Missing advertiser")</x:f>
        <x:v>Synthetic advertiser 2</x:v>
      </x:c>
      <x:c r="D15" s="7" t="n">
        <x:v>472</x:v>
      </x:c>
      <x:c r="E15" s="7" t="n">
        <x:v>12</x:v>
      </x:c>
      <x:c r="F15" s="6" t="n">
        <x:f>IF(D15=0,"n.a.",E15/D15)</x:f>
        <x:v>0.025423728813559324</x:v>
      </x:c>
      <x:c r="G15" s="1" t="str">
        <x:v>Review with confidence interval and campaign objective</x:v>
      </x:c>
      <x:c r="H15" s="3"/>
      <x:c r="I15" s="3" t="str">
        <x:v>Unreviewed</x:v>
      </x:c>
      <x:c r="J15" s="1"/>
    </x:row>
    <x:row r="16" ht="21" customHeight="1">
      <x:c r="A16" s="1" t="n">
        <x:v>3</x:v>
      </x:c>
      <x:c r="B16" s="1" t="n">
        <x:v>11</x:v>
      </x:c>
      <x:c r="C16" s="1" t="str">
        <x:f>_xlfn.IFNA(VLOOKUP(A16,Advertisers!$A$5:$B$29,2,FALSE),"Missing advertiser")</x:f>
        <x:v>Synthetic advertiser 3</x:v>
      </x:c>
      <x:c r="D16" s="7" t="n">
        <x:v>483</x:v>
      </x:c>
      <x:c r="E16" s="7" t="n">
        <x:v>8</x:v>
      </x:c>
      <x:c r="F16" s="6" t="n">
        <x:f>IF(D16=0,"n.a.",E16/D16)</x:f>
        <x:v>0.016563146997929608</x:v>
      </x:c>
      <x:c r="G16" s="1" t="str">
        <x:v>Review with confidence interval and campaign objective</x:v>
      </x:c>
      <x:c r="H16" s="3"/>
      <x:c r="I16" s="3" t="str">
        <x:v>Unreviewed</x:v>
      </x:c>
      <x:c r="J16" s="1"/>
    </x:row>
    <x:row r="17" ht="21" customHeight="1">
      <x:c r="A17" s="1" t="n">
        <x:v>3</x:v>
      </x:c>
      <x:c r="B17" s="1" t="n">
        <x:v>12</x:v>
      </x:c>
      <x:c r="C17" s="1" t="str">
        <x:f>_xlfn.IFNA(VLOOKUP(A17,Advertisers!$A$5:$B$29,2,FALSE),"Missing advertiser")</x:f>
        <x:v>Synthetic advertiser 3</x:v>
      </x:c>
      <x:c r="D17" s="7" t="n">
        <x:v>220</x:v>
      </x:c>
      <x:c r="E17" s="7" t="n">
        <x:v>2</x:v>
      </x:c>
      <x:c r="F17" s="6" t="n">
        <x:f>IF(D17=0,"n.a.",E17/D17)</x:f>
        <x:v>0.00909090909090909</x:v>
      </x:c>
      <x:c r="G17" s="1" t="str">
        <x:v>Review with confidence interval and campaign objective</x:v>
      </x:c>
      <x:c r="H17" s="3"/>
      <x:c r="I17" s="3" t="str">
        <x:v>Unreviewed</x:v>
      </x:c>
      <x:c r="J17" s="1"/>
    </x:row>
    <x:row r="18" ht="21" customHeight="1">
      <x:c r="A18" s="1" t="n">
        <x:v>3</x:v>
      </x:c>
      <x:c r="B18" s="1" t="n">
        <x:v>13</x:v>
      </x:c>
      <x:c r="C18" s="1" t="str">
        <x:f>_xlfn.IFNA(VLOOKUP(A18,Advertisers!$A$5:$B$29,2,FALSE),"Missing advertiser")</x:f>
        <x:v>Synthetic advertiser 3</x:v>
      </x:c>
      <x:c r="D18" s="7" t="n">
        <x:v>227</x:v>
      </x:c>
      <x:c r="E18" s="7" t="n">
        <x:v>3</x:v>
      </x:c>
      <x:c r="F18" s="6" t="n">
        <x:f>IF(D18=0,"n.a.",E18/D18)</x:f>
        <x:v>0.013215859030837005</x:v>
      </x:c>
      <x:c r="G18" s="1" t="str">
        <x:v>Review with confidence interval and campaign objective</x:v>
      </x:c>
      <x:c r="H18" s="3"/>
      <x:c r="I18" s="3" t="str">
        <x:v>Unreviewed</x:v>
      </x:c>
      <x:c r="J18" s="1"/>
    </x:row>
    <x:row r="19" ht="21" customHeight="1">
      <x:c r="A19" s="1" t="n">
        <x:v>4</x:v>
      </x:c>
      <x:c r="B19" s="1" t="n">
        <x:v>14</x:v>
      </x:c>
      <x:c r="C19" s="1" t="str">
        <x:f>_xlfn.IFNA(VLOOKUP(A19,Advertisers!$A$5:$B$29,2,FALSE),"Missing advertiser")</x:f>
        <x:v>Synthetic advertiser 4</x:v>
      </x:c>
      <x:c r="D19" s="7" t="n">
        <x:v>108</x:v>
      </x:c>
      <x:c r="E19" s="7" t="n">
        <x:v>3</x:v>
      </x:c>
      <x:c r="F19" s="6" t="n">
        <x:f>IF(D19=0,"n.a.",E19/D19)</x:f>
        <x:v>0.027777777777777776</x:v>
      </x:c>
      <x:c r="G19" s="1" t="str">
        <x:v>Review with confidence interval and campaign objective</x:v>
      </x:c>
      <x:c r="H19" s="3"/>
      <x:c r="I19" s="3" t="str">
        <x:v>Unreviewed</x:v>
      </x:c>
      <x:c r="J19" s="1"/>
    </x:row>
    <x:row r="20" ht="21" customHeight="1">
      <x:c r="A20" s="1" t="n">
        <x:v>4</x:v>
      </x:c>
      <x:c r="B20" s="1" t="n">
        <x:v>15</x:v>
      </x:c>
      <x:c r="C20" s="1" t="str">
        <x:f>_xlfn.IFNA(VLOOKUP(A20,Advertisers!$A$5:$B$29,2,FALSE),"Missing advertiser")</x:f>
        <x:v>Synthetic advertiser 4</x:v>
      </x:c>
      <x:c r="D20" s="7" t="n">
        <x:v>373</x:v>
      </x:c>
      <x:c r="E20" s="7" t="n">
        <x:v>6</x:v>
      </x:c>
      <x:c r="F20" s="6" t="n">
        <x:f>IF(D20=0,"n.a.",E20/D20)</x:f>
        <x:v>0.0160857908847185</x:v>
      </x:c>
      <x:c r="G20" s="1" t="str">
        <x:v>Review with confidence interval and campaign objective</x:v>
      </x:c>
      <x:c r="H20" s="3"/>
      <x:c r="I20" s="3" t="str">
        <x:v>Unreviewed</x:v>
      </x:c>
      <x:c r="J20" s="1"/>
    </x:row>
    <x:row r="21" ht="21" customHeight="1">
      <x:c r="A21" s="1" t="n">
        <x:v>4</x:v>
      </x:c>
      <x:c r="B21" s="1" t="n">
        <x:v>16</x:v>
      </x:c>
      <x:c r="C21" s="1" t="str">
        <x:f>_xlfn.IFNA(VLOOKUP(A21,Advertisers!$A$5:$B$29,2,FALSE),"Missing advertiser")</x:f>
        <x:v>Synthetic advertiser 4</x:v>
      </x:c>
      <x:c r="D21" s="7" t="n">
        <x:v>114</x:v>
      </x:c>
      <x:c r="E21" s="7" t="n">
        <x:v>3</x:v>
      </x:c>
      <x:c r="F21" s="6" t="n">
        <x:f>IF(D21=0,"n.a.",E21/D21)</x:f>
        <x:v>0.02631578947368421</x:v>
      </x:c>
      <x:c r="G21" s="1" t="str">
        <x:v>Review with confidence interval and campaign objective</x:v>
      </x:c>
      <x:c r="H21" s="3"/>
      <x:c r="I21" s="3" t="str">
        <x:v>Unreviewed</x:v>
      </x:c>
      <x:c r="J21" s="1"/>
    </x:row>
    <x:row r="22" ht="21" customHeight="1">
      <x:c r="A22" s="1" t="n">
        <x:v>5</x:v>
      </x:c>
      <x:c r="B22" s="1" t="n">
        <x:v>17</x:v>
      </x:c>
      <x:c r="C22" s="1" t="str">
        <x:f>_xlfn.IFNA(VLOOKUP(A22,Advertisers!$A$5:$B$29,2,FALSE),"Missing advertiser")</x:f>
        <x:v>Synthetic advertiser 5</x:v>
      </x:c>
      <x:c r="D22" s="7" t="n">
        <x:v>497</x:v>
      </x:c>
      <x:c r="E22" s="7" t="n">
        <x:v>9</x:v>
      </x:c>
      <x:c r="F22" s="6" t="n">
        <x:f>IF(D22=0,"n.a.",E22/D22)</x:f>
        <x:v>0.018108651911468814</x:v>
      </x:c>
      <x:c r="G22" s="1" t="str">
        <x:v>Review with confidence interval and campaign objective</x:v>
      </x:c>
      <x:c r="H22" s="3"/>
      <x:c r="I22" s="3" t="str">
        <x:v>Unreviewed</x:v>
      </x:c>
      <x:c r="J22" s="1"/>
    </x:row>
    <x:row r="23" ht="21" customHeight="1">
      <x:c r="A23" s="1" t="n">
        <x:v>5</x:v>
      </x:c>
      <x:c r="B23" s="1" t="n">
        <x:v>18</x:v>
      </x:c>
      <x:c r="C23" s="1" t="str">
        <x:f>_xlfn.IFNA(VLOOKUP(A23,Advertisers!$A$5:$B$29,2,FALSE),"Missing advertiser")</x:f>
        <x:v>Synthetic advertiser 5</x:v>
      </x:c>
      <x:c r="D23" s="7" t="n">
        <x:v>349</x:v>
      </x:c>
      <x:c r="E23" s="7" t="n">
        <x:v>1</x:v>
      </x:c>
      <x:c r="F23" s="6" t="n">
        <x:f>IF(D23=0,"n.a.",E23/D23)</x:f>
        <x:v>0.0028653295128939827</x:v>
      </x:c>
      <x:c r="G23" s="1" t="str">
        <x:v>Review with confidence interval and campaign objective</x:v>
      </x:c>
      <x:c r="H23" s="3"/>
      <x:c r="I23" s="3" t="str">
        <x:v>Unreviewed</x:v>
      </x:c>
      <x:c r="J23" s="1"/>
    </x:row>
    <x:row r="24" ht="21" customHeight="1">
      <x:c r="A24" s="1" t="n">
        <x:v>5</x:v>
      </x:c>
      <x:c r="B24" s="1" t="n">
        <x:v>19</x:v>
      </x:c>
      <x:c r="C24" s="1" t="str">
        <x:f>_xlfn.IFNA(VLOOKUP(A24,Advertisers!$A$5:$B$29,2,FALSE),"Missing advertiser")</x:f>
        <x:v>Synthetic advertiser 5</x:v>
      </x:c>
      <x:c r="D24" s="7" t="n">
        <x:v>92</x:v>
      </x:c>
      <x:c r="E24" s="7" t="n">
        <x:v>3</x:v>
      </x:c>
      <x:c r="F24" s="6" t="n">
        <x:f>IF(D24=0,"n.a.",E24/D24)</x:f>
        <x:v>0.03260869565217391</x:v>
      </x:c>
      <x:c r="G24" s="1" t="str">
        <x:v>Review with confidence interval and campaign objective</x:v>
      </x:c>
      <x:c r="H24" s="3"/>
      <x:c r="I24" s="3" t="str">
        <x:v>Unreviewed</x:v>
      </x:c>
      <x:c r="J24" s="1"/>
    </x:row>
    <x:row r="25" ht="21" customHeight="1">
      <x:c r="A25" s="1" t="n">
        <x:v>5</x:v>
      </x:c>
      <x:c r="B25" s="1" t="n">
        <x:v>20</x:v>
      </x:c>
      <x:c r="C25" s="1" t="str">
        <x:f>_xlfn.IFNA(VLOOKUP(A25,Advertisers!$A$5:$B$29,2,FALSE),"Missing advertiser")</x:f>
        <x:v>Synthetic advertiser 5</x:v>
      </x:c>
      <x:c r="D25" s="7" t="n">
        <x:v>437</x:v>
      </x:c>
      <x:c r="E25" s="7" t="n">
        <x:v>9</x:v>
      </x:c>
      <x:c r="F25" s="6" t="n">
        <x:f>IF(D25=0,"n.a.",E25/D25)</x:f>
        <x:v>0.020594965675057208</x:v>
      </x:c>
      <x:c r="G25" s="1" t="str">
        <x:v>Review with confidence interval and campaign objective</x:v>
      </x:c>
      <x:c r="H25" s="3"/>
      <x:c r="I25" s="3" t="str">
        <x:v>Unreviewed</x:v>
      </x:c>
      <x:c r="J25" s="1"/>
    </x:row>
    <x:row r="26" ht="21" customHeight="1">
      <x:c r="A26" s="1" t="n">
        <x:v>6</x:v>
      </x:c>
      <x:c r="B26" s="1" t="n">
        <x:v>21</x:v>
      </x:c>
      <x:c r="C26" s="1" t="str">
        <x:f>_xlfn.IFNA(VLOOKUP(A26,Advertisers!$A$5:$B$29,2,FALSE),"Missing advertiser")</x:f>
        <x:v>Synthetic advertiser 6</x:v>
      </x:c>
      <x:c r="D26" s="7" t="n">
        <x:v>498</x:v>
      </x:c>
      <x:c r="E26" s="7" t="n">
        <x:v>6</x:v>
      </x:c>
      <x:c r="F26" s="6" t="n">
        <x:f>IF(D26=0,"n.a.",E26/D26)</x:f>
        <x:v>0.012048192771084338</x:v>
      </x:c>
      <x:c r="G26" s="1" t="str">
        <x:v>Review with confidence interval and campaign objective</x:v>
      </x:c>
      <x:c r="H26" s="3"/>
      <x:c r="I26" s="3" t="str">
        <x:v>Unreviewed</x:v>
      </x:c>
      <x:c r="J26" s="1"/>
    </x:row>
    <x:row r="27" ht="21" customHeight="1">
      <x:c r="A27" s="1" t="n">
        <x:v>6</x:v>
      </x:c>
      <x:c r="B27" s="1" t="n">
        <x:v>22</x:v>
      </x:c>
      <x:c r="C27" s="1" t="str">
        <x:f>_xlfn.IFNA(VLOOKUP(A27,Advertisers!$A$5:$B$29,2,FALSE),"Missing advertiser")</x:f>
        <x:v>Synthetic advertiser 6</x:v>
      </x:c>
      <x:c r="D27" s="7" t="n">
        <x:v>265</x:v>
      </x:c>
      <x:c r="E27" s="7" t="n">
        <x:v>8</x:v>
      </x:c>
      <x:c r="F27" s="6" t="n">
        <x:f>IF(D27=0,"n.a.",E27/D27)</x:f>
        <x:v>0.03018867924528302</x:v>
      </x:c>
      <x:c r="G27" s="1" t="str">
        <x:v>Review with confidence interval and campaign objective</x:v>
      </x:c>
      <x:c r="H27" s="3"/>
      <x:c r="I27" s="3" t="str">
        <x:v>Unreviewed</x:v>
      </x:c>
      <x:c r="J27" s="1"/>
    </x:row>
    <x:row r="28" ht="21" customHeight="1">
      <x:c r="A28" s="1" t="n">
        <x:v>6</x:v>
      </x:c>
      <x:c r="B28" s="1" t="n">
        <x:v>23</x:v>
      </x:c>
      <x:c r="C28" s="1" t="str">
        <x:f>_xlfn.IFNA(VLOOKUP(A28,Advertisers!$A$5:$B$29,2,FALSE),"Missing advertiser")</x:f>
        <x:v>Synthetic advertiser 6</x:v>
      </x:c>
      <x:c r="D28" s="7" t="n">
        <x:v>148</x:v>
      </x:c>
      <x:c r="E28" s="7" t="n">
        <x:v>12</x:v>
      </x:c>
      <x:c r="F28" s="6" t="n">
        <x:f>IF(D28=0,"n.a.",E28/D28)</x:f>
        <x:v>0.08108108108108109</x:v>
      </x:c>
      <x:c r="G28" s="1" t="str">
        <x:v>Review with confidence interval and campaign objective</x:v>
      </x:c>
      <x:c r="H28" s="3"/>
      <x:c r="I28" s="3" t="str">
        <x:v>Unreviewed</x:v>
      </x:c>
      <x:c r="J28" s="1"/>
    </x:row>
    <x:row r="29" ht="21" customHeight="1">
      <x:c r="A29" s="1" t="n">
        <x:v>6</x:v>
      </x:c>
      <x:c r="B29" s="1" t="n">
        <x:v>24</x:v>
      </x:c>
      <x:c r="C29" s="1" t="str">
        <x:f>_xlfn.IFNA(VLOOKUP(A29,Advertisers!$A$5:$B$29,2,FALSE),"Missing advertiser")</x:f>
        <x:v>Synthetic advertiser 6</x:v>
      </x:c>
      <x:c r="D29" s="7" t="n">
        <x:v>204</x:v>
      </x:c>
      <x:c r="E29" s="7" t="n">
        <x:v>8</x:v>
      </x:c>
      <x:c r="F29" s="6" t="n">
        <x:f>IF(D29=0,"n.a.",E29/D29)</x:f>
        <x:v>0.0392156862745098</x:v>
      </x:c>
      <x:c r="G29" s="1" t="str">
        <x:v>Review with confidence interval and campaign objective</x:v>
      </x:c>
      <x:c r="H29" s="3"/>
      <x:c r="I29" s="3" t="str">
        <x:v>Unreviewed</x:v>
      </x:c>
      <x:c r="J29" s="1"/>
    </x:row>
    <x:row r="30" ht="21" customHeight="1">
      <x:c r="A30" s="1" t="n">
        <x:v>6</x:v>
      </x:c>
      <x:c r="B30" s="1" t="n">
        <x:v>25</x:v>
      </x:c>
      <x:c r="C30" s="1" t="str">
        <x:f>_xlfn.IFNA(VLOOKUP(A30,Advertisers!$A$5:$B$29,2,FALSE),"Missing advertiser")</x:f>
        <x:v>Synthetic advertiser 6</x:v>
      </x:c>
      <x:c r="D30" s="7" t="n">
        <x:v>227</x:v>
      </x:c>
      <x:c r="E30" s="7" t="n">
        <x:v>3</x:v>
      </x:c>
      <x:c r="F30" s="6" t="n">
        <x:f>IF(D30=0,"n.a.",E30/D30)</x:f>
        <x:v>0.013215859030837005</x:v>
      </x:c>
      <x:c r="G30" s="1" t="str">
        <x:v>Review with confidence interval and campaign objective</x:v>
      </x:c>
      <x:c r="H30" s="3"/>
      <x:c r="I30" s="3" t="str">
        <x:v>Unreviewed</x:v>
      </x:c>
      <x:c r="J30" s="1"/>
    </x:row>
    <x:row r="31" ht="21" customHeight="1">
      <x:c r="A31" s="1" t="n">
        <x:v>7</x:v>
      </x:c>
      <x:c r="B31" s="1" t="n">
        <x:v>26</x:v>
      </x:c>
      <x:c r="C31" s="1" t="str">
        <x:f>_xlfn.IFNA(VLOOKUP(A31,Advertisers!$A$5:$B$29,2,FALSE),"Missing advertiser")</x:f>
        <x:v>Synthetic advertiser 7</x:v>
      </x:c>
      <x:c r="D31" s="7" t="n">
        <x:v>240</x:v>
      </x:c>
      <x:c r="E31" s="7" t="n">
        <x:v>3</x:v>
      </x:c>
      <x:c r="F31" s="6" t="n">
        <x:f>IF(D31=0,"n.a.",E31/D31)</x:f>
        <x:v>0.0125</x:v>
      </x:c>
      <x:c r="G31" s="1" t="str">
        <x:v>Review with confidence interval and campaign objective</x:v>
      </x:c>
      <x:c r="H31" s="3"/>
      <x:c r="I31" s="3" t="str">
        <x:v>Unreviewed</x:v>
      </x:c>
      <x:c r="J31" s="1"/>
    </x:row>
    <x:row r="32" ht="21" customHeight="1">
      <x:c r="A32" s="1" t="n">
        <x:v>7</x:v>
      </x:c>
      <x:c r="B32" s="1" t="n">
        <x:v>27</x:v>
      </x:c>
      <x:c r="C32" s="1" t="str">
        <x:f>_xlfn.IFNA(VLOOKUP(A32,Advertisers!$A$5:$B$29,2,FALSE),"Missing advertiser")</x:f>
        <x:v>Synthetic advertiser 7</x:v>
      </x:c>
      <x:c r="D32" s="7" t="n">
        <x:v>476</x:v>
      </x:c>
      <x:c r="E32" s="7" t="n">
        <x:v>11</x:v>
      </x:c>
      <x:c r="F32" s="6" t="n">
        <x:f>IF(D32=0,"n.a.",E32/D32)</x:f>
        <x:v>0.023109243697478993</x:v>
      </x:c>
      <x:c r="G32" s="1" t="str">
        <x:v>Review with confidence interval and campaign objective</x:v>
      </x:c>
      <x:c r="H32" s="3"/>
      <x:c r="I32" s="3" t="str">
        <x:v>Unreviewed</x:v>
      </x:c>
      <x:c r="J32" s="1"/>
    </x:row>
    <x:row r="33" ht="21" customHeight="1">
      <x:c r="A33" s="1" t="n">
        <x:v>8</x:v>
      </x:c>
      <x:c r="B33" s="1" t="n">
        <x:v>28</x:v>
      </x:c>
      <x:c r="C33" s="1" t="str">
        <x:f>_xlfn.IFNA(VLOOKUP(A33,Advertisers!$A$5:$B$29,2,FALSE),"Missing advertiser")</x:f>
        <x:v>Synthetic advertiser 8</x:v>
      </x:c>
      <x:c r="D33" s="7" t="n">
        <x:v>491</x:v>
      </x:c>
      <x:c r="E33" s="7" t="n">
        <x:v>7</x:v>
      </x:c>
      <x:c r="F33" s="6" t="n">
        <x:f>IF(D33=0,"n.a.",E33/D33)</x:f>
        <x:v>0.014256619144602852</x:v>
      </x:c>
      <x:c r="G33" s="1" t="str">
        <x:v>Review with confidence interval and campaign objective</x:v>
      </x:c>
      <x:c r="H33" s="3"/>
      <x:c r="I33" s="3" t="str">
        <x:v>Unreviewed</x:v>
      </x:c>
      <x:c r="J33" s="1"/>
    </x:row>
    <x:row r="34" ht="21" customHeight="1">
      <x:c r="A34" s="1" t="n">
        <x:v>8</x:v>
      </x:c>
      <x:c r="B34" s="1" t="n">
        <x:v>29</x:v>
      </x:c>
      <x:c r="C34" s="1" t="str">
        <x:f>_xlfn.IFNA(VLOOKUP(A34,Advertisers!$A$5:$B$29,2,FALSE),"Missing advertiser")</x:f>
        <x:v>Synthetic advertiser 8</x:v>
      </x:c>
      <x:c r="D34" s="7" t="n">
        <x:v>350</x:v>
      </x:c>
      <x:c r="E34" s="7" t="n">
        <x:v>5</x:v>
      </x:c>
      <x:c r="F34" s="6" t="n">
        <x:f>IF(D34=0,"n.a.",E34/D34)</x:f>
        <x:v>0.014285714285714285</x:v>
      </x:c>
      <x:c r="G34" s="1" t="str">
        <x:v>Review with confidence interval and campaign objective</x:v>
      </x:c>
      <x:c r="H34" s="3"/>
      <x:c r="I34" s="3" t="str">
        <x:v>Unreviewed</x:v>
      </x:c>
      <x:c r="J34" s="1"/>
    </x:row>
    <x:row r="35" ht="21" customHeight="1">
      <x:c r="A35" s="1" t="n">
        <x:v>9</x:v>
      </x:c>
      <x:c r="B35" s="1" t="n">
        <x:v>30</x:v>
      </x:c>
      <x:c r="C35" s="1" t="str">
        <x:f>_xlfn.IFNA(VLOOKUP(A35,Advertisers!$A$5:$B$29,2,FALSE),"Missing advertiser")</x:f>
        <x:v>Synthetic advertiser 9</x:v>
      </x:c>
      <x:c r="D35" s="7" t="n">
        <x:v>477</x:v>
      </x:c>
      <x:c r="E35" s="7" t="n">
        <x:v>14</x:v>
      </x:c>
      <x:c r="F35" s="6" t="n">
        <x:f>IF(D35=0,"n.a.",E35/D35)</x:f>
        <x:v>0.029350104821802937</x:v>
      </x:c>
      <x:c r="G35" s="1" t="str">
        <x:v>Review with confidence interval and campaign objective</x:v>
      </x:c>
      <x:c r="H35" s="3"/>
      <x:c r="I35" s="3" t="str">
        <x:v>Unreviewed</x:v>
      </x:c>
      <x:c r="J35" s="1"/>
    </x:row>
    <x:row r="36" ht="21" customHeight="1">
      <x:c r="A36" s="1" t="n">
        <x:v>9</x:v>
      </x:c>
      <x:c r="B36" s="1" t="n">
        <x:v>31</x:v>
      </x:c>
      <x:c r="C36" s="1" t="str">
        <x:f>_xlfn.IFNA(VLOOKUP(A36,Advertisers!$A$5:$B$29,2,FALSE),"Missing advertiser")</x:f>
        <x:v>Synthetic advertiser 9</x:v>
      </x:c>
      <x:c r="D36" s="7" t="n">
        <x:v>110</x:v>
      </x:c>
      <x:c r="E36" s="7" t="n">
        <x:v>0</x:v>
      </x:c>
      <x:c r="F36" s="6" t="n">
        <x:f>IF(D36=0,"n.a.",E36/D36)</x:f>
        <x:v>0</x:v>
      </x:c>
      <x:c r="G36" s="1" t="str">
        <x:v>No observed clicks; investigate sample size</x:v>
      </x:c>
      <x:c r="H36" s="3"/>
      <x:c r="I36" s="3" t="str">
        <x:v>Unreviewed</x:v>
      </x:c>
      <x:c r="J36" s="1"/>
    </x:row>
    <x:row r="37" ht="21" customHeight="1">
      <x:c r="A37" s="1" t="n">
        <x:v>9</x:v>
      </x:c>
      <x:c r="B37" s="1" t="n">
        <x:v>32</x:v>
      </x:c>
      <x:c r="C37" s="1" t="str">
        <x:f>_xlfn.IFNA(VLOOKUP(A37,Advertisers!$A$5:$B$29,2,FALSE),"Missing advertiser")</x:f>
        <x:v>Synthetic advertiser 9</x:v>
      </x:c>
      <x:c r="D37" s="7" t="n">
        <x:v>112</x:v>
      </x:c>
      <x:c r="E37" s="7" t="n">
        <x:v>2</x:v>
      </x:c>
      <x:c r="F37" s="6" t="n">
        <x:f>IF(D37=0,"n.a.",E37/D37)</x:f>
        <x:v>0.017857142857142856</x:v>
      </x:c>
      <x:c r="G37" s="1" t="str">
        <x:v>Review with confidence interval and campaign objective</x:v>
      </x:c>
      <x:c r="H37" s="3"/>
      <x:c r="I37" s="3" t="str">
        <x:v>Unreviewed</x:v>
      </x:c>
      <x:c r="J37" s="1"/>
    </x:row>
    <x:row r="38" ht="21" customHeight="1">
      <x:c r="A38" s="1" t="n">
        <x:v>9</x:v>
      </x:c>
      <x:c r="B38" s="1" t="n">
        <x:v>33</x:v>
      </x:c>
      <x:c r="C38" s="1" t="str">
        <x:f>_xlfn.IFNA(VLOOKUP(A38,Advertisers!$A$5:$B$29,2,FALSE),"Missing advertiser")</x:f>
        <x:v>Synthetic advertiser 9</x:v>
      </x:c>
      <x:c r="D38" s="7" t="n">
        <x:v>475</x:v>
      </x:c>
      <x:c r="E38" s="7" t="n">
        <x:v>13</x:v>
      </x:c>
      <x:c r="F38" s="6" t="n">
        <x:f>IF(D38=0,"n.a.",E38/D38)</x:f>
        <x:v>0.02736842105263158</x:v>
      </x:c>
      <x:c r="G38" s="1" t="str">
        <x:v>Review with confidence interval and campaign objective</x:v>
      </x:c>
      <x:c r="H38" s="3"/>
      <x:c r="I38" s="3" t="str">
        <x:v>Unreviewed</x:v>
      </x:c>
      <x:c r="J38" s="1"/>
    </x:row>
    <x:row r="39" ht="21" customHeight="1">
      <x:c r="A39" s="1" t="n">
        <x:v>10</x:v>
      </x:c>
      <x:c r="B39" s="1" t="n">
        <x:v>34</x:v>
      </x:c>
      <x:c r="C39" s="1" t="str">
        <x:f>_xlfn.IFNA(VLOOKUP(A39,Advertisers!$A$5:$B$29,2,FALSE),"Missing advertiser")</x:f>
        <x:v>Synthetic advertiser 10</x:v>
      </x:c>
      <x:c r="D39" s="7" t="n">
        <x:v>383</x:v>
      </x:c>
      <x:c r="E39" s="7" t="n">
        <x:v>6</x:v>
      </x:c>
      <x:c r="F39" s="6" t="n">
        <x:f>IF(D39=0,"n.a.",E39/D39)</x:f>
        <x:v>0.015665796344647518</x:v>
      </x:c>
      <x:c r="G39" s="1" t="str">
        <x:v>Review with confidence interval and campaign objective</x:v>
      </x:c>
      <x:c r="H39" s="3"/>
      <x:c r="I39" s="3" t="str">
        <x:v>Unreviewed</x:v>
      </x:c>
      <x:c r="J39" s="1"/>
    </x:row>
    <x:row r="40" ht="21" customHeight="1">
      <x:c r="A40" s="1" t="n">
        <x:v>10</x:v>
      </x:c>
      <x:c r="B40" s="1" t="n">
        <x:v>35</x:v>
      </x:c>
      <x:c r="C40" s="1" t="str">
        <x:f>_xlfn.IFNA(VLOOKUP(A40,Advertisers!$A$5:$B$29,2,FALSE),"Missing advertiser")</x:f>
        <x:v>Synthetic advertiser 10</x:v>
      </x:c>
      <x:c r="D40" s="7" t="n">
        <x:v>132</x:v>
      </x:c>
      <x:c r="E40" s="7" t="n">
        <x:v>4</x:v>
      </x:c>
      <x:c r="F40" s="6" t="n">
        <x:f>IF(D40=0,"n.a.",E40/D40)</x:f>
        <x:v>0.030303030303030304</x:v>
      </x:c>
      <x:c r="G40" s="1" t="str">
        <x:v>Review with confidence interval and campaign objective</x:v>
      </x:c>
      <x:c r="H40" s="3"/>
      <x:c r="I40" s="3" t="str">
        <x:v>Unreviewed</x:v>
      </x:c>
      <x:c r="J40" s="1"/>
    </x:row>
    <x:row r="41" ht="21" customHeight="1">
      <x:c r="A41" s="1" t="n">
        <x:v>10</x:v>
      </x:c>
      <x:c r="B41" s="1" t="n">
        <x:v>36</x:v>
      </x:c>
      <x:c r="C41" s="1" t="str">
        <x:f>_xlfn.IFNA(VLOOKUP(A41,Advertisers!$A$5:$B$29,2,FALSE),"Missing advertiser")</x:f>
        <x:v>Synthetic advertiser 10</x:v>
      </x:c>
      <x:c r="D41" s="7" t="n">
        <x:v>449</x:v>
      </x:c>
      <x:c r="E41" s="7" t="n">
        <x:v>10</x:v>
      </x:c>
      <x:c r="F41" s="6" t="n">
        <x:f>IF(D41=0,"n.a.",E41/D41)</x:f>
        <x:v>0.022271714922048998</x:v>
      </x:c>
      <x:c r="G41" s="1" t="str">
        <x:v>Review with confidence interval and campaign objective</x:v>
      </x:c>
      <x:c r="H41" s="3"/>
      <x:c r="I41" s="3" t="str">
        <x:v>Unreviewed</x:v>
      </x:c>
      <x:c r="J41" s="1"/>
    </x:row>
    <x:row r="42" ht="21" customHeight="1">
      <x:c r="A42" s="1" t="n">
        <x:v>10</x:v>
      </x:c>
      <x:c r="B42" s="1" t="n">
        <x:v>37</x:v>
      </x:c>
      <x:c r="C42" s="1" t="str">
        <x:f>_xlfn.IFNA(VLOOKUP(A42,Advertisers!$A$5:$B$29,2,FALSE),"Missing advertiser")</x:f>
        <x:v>Synthetic advertiser 10</x:v>
      </x:c>
      <x:c r="D42" s="7" t="n">
        <x:v>102</x:v>
      </x:c>
      <x:c r="E42" s="7" t="n">
        <x:v>3</x:v>
      </x:c>
      <x:c r="F42" s="6" t="n">
        <x:f>IF(D42=0,"n.a.",E42/D42)</x:f>
        <x:v>0.029411764705882353</x:v>
      </x:c>
      <x:c r="G42" s="1" t="str">
        <x:v>Review with confidence interval and campaign objective</x:v>
      </x:c>
      <x:c r="H42" s="3"/>
      <x:c r="I42" s="3" t="str">
        <x:v>Unreviewed</x:v>
      </x:c>
      <x:c r="J42" s="1"/>
    </x:row>
    <x:row r="43" ht="21" customHeight="1">
      <x:c r="A43" s="1" t="n">
        <x:v>10</x:v>
      </x:c>
      <x:c r="B43" s="1" t="n">
        <x:v>38</x:v>
      </x:c>
      <x:c r="C43" s="1" t="str">
        <x:f>_xlfn.IFNA(VLOOKUP(A43,Advertisers!$A$5:$B$29,2,FALSE),"Missing advertiser")</x:f>
        <x:v>Synthetic advertiser 10</x:v>
      </x:c>
      <x:c r="D43" s="7" t="n">
        <x:v>453</x:v>
      </x:c>
      <x:c r="E43" s="7" t="n">
        <x:v>6</x:v>
      </x:c>
      <x:c r="F43" s="6" t="n">
        <x:f>IF(D43=0,"n.a.",E43/D43)</x:f>
        <x:v>0.013245033112582781</x:v>
      </x:c>
      <x:c r="G43" s="1" t="str">
        <x:v>Review with confidence interval and campaign objective</x:v>
      </x:c>
      <x:c r="H43" s="3"/>
      <x:c r="I43" s="3" t="str">
        <x:v>Unreviewed</x:v>
      </x:c>
      <x:c r="J43" s="1"/>
    </x:row>
    <x:row r="44" ht="21" customHeight="1">
      <x:c r="A44" s="1" t="n">
        <x:v>11</x:v>
      </x:c>
      <x:c r="B44" s="1" t="n">
        <x:v>39</x:v>
      </x:c>
      <x:c r="C44" s="1" t="str">
        <x:f>_xlfn.IFNA(VLOOKUP(A44,Advertisers!$A$5:$B$29,2,FALSE),"Missing advertiser")</x:f>
        <x:v>Synthetic advertiser 11</x:v>
      </x:c>
      <x:c r="D44" s="7" t="n">
        <x:v>452</x:v>
      </x:c>
      <x:c r="E44" s="7" t="n">
        <x:v>17</x:v>
      </x:c>
      <x:c r="F44" s="6" t="n">
        <x:f>IF(D44=0,"n.a.",E44/D44)</x:f>
        <x:v>0.03761061946902655</x:v>
      </x:c>
      <x:c r="G44" s="1" t="str">
        <x:v>Review with confidence interval and campaign objective</x:v>
      </x:c>
      <x:c r="H44" s="3"/>
      <x:c r="I44" s="3" t="str">
        <x:v>Unreviewed</x:v>
      </x:c>
      <x:c r="J44" s="1"/>
    </x:row>
    <x:row r="45" ht="21" customHeight="1">
      <x:c r="A45" s="1" t="n">
        <x:v>11</x:v>
      </x:c>
      <x:c r="B45" s="1" t="n">
        <x:v>40</x:v>
      </x:c>
      <x:c r="C45" s="1" t="str">
        <x:f>_xlfn.IFNA(VLOOKUP(A45,Advertisers!$A$5:$B$29,2,FALSE),"Missing advertiser")</x:f>
        <x:v>Synthetic advertiser 11</x:v>
      </x:c>
      <x:c r="D45" s="7" t="n">
        <x:v>230</x:v>
      </x:c>
      <x:c r="E45" s="7" t="n">
        <x:v>4</x:v>
      </x:c>
      <x:c r="F45" s="6" t="n">
        <x:f>IF(D45=0,"n.a.",E45/D45)</x:f>
        <x:v>0.017391304347826087</x:v>
      </x:c>
      <x:c r="G45" s="1" t="str">
        <x:v>Review with confidence interval and campaign objective</x:v>
      </x:c>
      <x:c r="H45" s="3"/>
      <x:c r="I45" s="3" t="str">
        <x:v>Unreviewed</x:v>
      </x:c>
      <x:c r="J45" s="1"/>
    </x:row>
    <x:row r="46" ht="21" customHeight="1">
      <x:c r="A46" s="1" t="n">
        <x:v>11</x:v>
      </x:c>
      <x:c r="B46" s="1" t="n">
        <x:v>41</x:v>
      </x:c>
      <x:c r="C46" s="1" t="str">
        <x:f>_xlfn.IFNA(VLOOKUP(A46,Advertisers!$A$5:$B$29,2,FALSE),"Missing advertiser")</x:f>
        <x:v>Synthetic advertiser 11</x:v>
      </x:c>
      <x:c r="D46" s="7" t="n">
        <x:v>340</x:v>
      </x:c>
      <x:c r="E46" s="7" t="n">
        <x:v>7</x:v>
      </x:c>
      <x:c r="F46" s="6" t="n">
        <x:f>IF(D46=0,"n.a.",E46/D46)</x:f>
        <x:v>0.020588235294117647</x:v>
      </x:c>
      <x:c r="G46" s="1" t="str">
        <x:v>Review with confidence interval and campaign objective</x:v>
      </x:c>
      <x:c r="H46" s="3"/>
      <x:c r="I46" s="3" t="str">
        <x:v>Unreviewed</x:v>
      </x:c>
      <x:c r="J46" s="1"/>
    </x:row>
    <x:row r="47" ht="21" customHeight="1">
      <x:c r="A47" s="1" t="n">
        <x:v>11</x:v>
      </x:c>
      <x:c r="B47" s="1" t="n">
        <x:v>42</x:v>
      </x:c>
      <x:c r="C47" s="1" t="str">
        <x:f>_xlfn.IFNA(VLOOKUP(A47,Advertisers!$A$5:$B$29,2,FALSE),"Missing advertiser")</x:f>
        <x:v>Synthetic advertiser 11</x:v>
      </x:c>
      <x:c r="D47" s="7" t="n">
        <x:v>351</x:v>
      </x:c>
      <x:c r="E47" s="7" t="n">
        <x:v>7</x:v>
      </x:c>
      <x:c r="F47" s="6" t="n">
        <x:f>IF(D47=0,"n.a.",E47/D47)</x:f>
        <x:v>0.019943019943019943</x:v>
      </x:c>
      <x:c r="G47" s="1" t="str">
        <x:v>Review with confidence interval and campaign objective</x:v>
      </x:c>
      <x:c r="H47" s="3"/>
      <x:c r="I47" s="3" t="str">
        <x:v>Unreviewed</x:v>
      </x:c>
      <x:c r="J47" s="1"/>
    </x:row>
    <x:row r="48" ht="21" customHeight="1">
      <x:c r="A48" s="1" t="n">
        <x:v>11</x:v>
      </x:c>
      <x:c r="B48" s="1" t="n">
        <x:v>43</x:v>
      </x:c>
      <x:c r="C48" s="1" t="str">
        <x:f>_xlfn.IFNA(VLOOKUP(A48,Advertisers!$A$5:$B$29,2,FALSE),"Missing advertiser")</x:f>
        <x:v>Synthetic advertiser 11</x:v>
      </x:c>
      <x:c r="D48" s="7" t="n">
        <x:v>484</x:v>
      </x:c>
      <x:c r="E48" s="7" t="n">
        <x:v>12</x:v>
      </x:c>
      <x:c r="F48" s="6" t="n">
        <x:f>IF(D48=0,"n.a.",E48/D48)</x:f>
        <x:v>0.024793388429752067</x:v>
      </x:c>
      <x:c r="G48" s="1" t="str">
        <x:v>Review with confidence interval and campaign objective</x:v>
      </x:c>
      <x:c r="H48" s="3"/>
      <x:c r="I48" s="3" t="str">
        <x:v>Unreviewed</x:v>
      </x:c>
      <x:c r="J48" s="1"/>
    </x:row>
    <x:row r="49" ht="21" customHeight="1">
      <x:c r="A49" s="1" t="n">
        <x:v>12</x:v>
      </x:c>
      <x:c r="B49" s="1" t="n">
        <x:v>44</x:v>
      </x:c>
      <x:c r="C49" s="1" t="str">
        <x:f>_xlfn.IFNA(VLOOKUP(A49,Advertisers!$A$5:$B$29,2,FALSE),"Missing advertiser")</x:f>
        <x:v>Synthetic advertiser 12</x:v>
      </x:c>
      <x:c r="D49" s="7" t="n">
        <x:v>366</x:v>
      </x:c>
      <x:c r="E49" s="7" t="n">
        <x:v>7</x:v>
      </x:c>
      <x:c r="F49" s="6" t="n">
        <x:f>IF(D49=0,"n.a.",E49/D49)</x:f>
        <x:v>0.01912568306010929</x:v>
      </x:c>
      <x:c r="G49" s="1" t="str">
        <x:v>Review with confidence interval and campaign objective</x:v>
      </x:c>
      <x:c r="H49" s="3"/>
      <x:c r="I49" s="3" t="str">
        <x:v>Unreviewed</x:v>
      </x:c>
      <x:c r="J49" s="1"/>
    </x:row>
    <x:row r="50" ht="21" customHeight="1">
      <x:c r="A50" s="1" t="n">
        <x:v>13</x:v>
      </x:c>
      <x:c r="B50" s="1" t="n">
        <x:v>45</x:v>
      </x:c>
      <x:c r="C50" s="1" t="str">
        <x:f>_xlfn.IFNA(VLOOKUP(A50,Advertisers!$A$5:$B$29,2,FALSE),"Missing advertiser")</x:f>
        <x:v>Synthetic advertiser 13</x:v>
      </x:c>
      <x:c r="D50" s="7" t="n">
        <x:v>225</x:v>
      </x:c>
      <x:c r="E50" s="7" t="n">
        <x:v>4</x:v>
      </x:c>
      <x:c r="F50" s="6" t="n">
        <x:f>IF(D50=0,"n.a.",E50/D50)</x:f>
        <x:v>0.017777777777777778</x:v>
      </x:c>
      <x:c r="G50" s="1" t="str">
        <x:v>Review with confidence interval and campaign objective</x:v>
      </x:c>
      <x:c r="H50" s="3"/>
      <x:c r="I50" s="3" t="str">
        <x:v>Unreviewed</x:v>
      </x:c>
      <x:c r="J50" s="1"/>
    </x:row>
    <x:row r="51" ht="21" customHeight="1">
      <x:c r="A51" s="1" t="n">
        <x:v>13</x:v>
      </x:c>
      <x:c r="B51" s="1" t="n">
        <x:v>46</x:v>
      </x:c>
      <x:c r="C51" s="1" t="str">
        <x:f>_xlfn.IFNA(VLOOKUP(A51,Advertisers!$A$5:$B$29,2,FALSE),"Missing advertiser")</x:f>
        <x:v>Synthetic advertiser 13</x:v>
      </x:c>
      <x:c r="D51" s="7" t="n">
        <x:v>102</x:v>
      </x:c>
      <x:c r="E51" s="7" t="n">
        <x:v>2</x:v>
      </x:c>
      <x:c r="F51" s="6" t="n">
        <x:f>IF(D51=0,"n.a.",E51/D51)</x:f>
        <x:v>0.0196078431372549</x:v>
      </x:c>
      <x:c r="G51" s="1" t="str">
        <x:v>Review with confidence interval and campaign objective</x:v>
      </x:c>
      <x:c r="H51" s="3"/>
      <x:c r="I51" s="3" t="str">
        <x:v>Unreviewed</x:v>
      </x:c>
      <x:c r="J51" s="1"/>
    </x:row>
    <x:row r="52" ht="21" customHeight="1">
      <x:c r="A52" s="1" t="n">
        <x:v>13</x:v>
      </x:c>
      <x:c r="B52" s="1" t="n">
        <x:v>47</x:v>
      </x:c>
      <x:c r="C52" s="1" t="str">
        <x:f>_xlfn.IFNA(VLOOKUP(A52,Advertisers!$A$5:$B$29,2,FALSE),"Missing advertiser")</x:f>
        <x:v>Synthetic advertiser 13</x:v>
      </x:c>
      <x:c r="D52" s="7" t="n">
        <x:v>239</x:v>
      </x:c>
      <x:c r="E52" s="7" t="n">
        <x:v>4</x:v>
      </x:c>
      <x:c r="F52" s="6" t="n">
        <x:f>IF(D52=0,"n.a.",E52/D52)</x:f>
        <x:v>0.016736401673640166</x:v>
      </x:c>
      <x:c r="G52" s="1" t="str">
        <x:v>Review with confidence interval and campaign objective</x:v>
      </x:c>
      <x:c r="H52" s="3"/>
      <x:c r="I52" s="3" t="str">
        <x:v>Unreviewed</x:v>
      </x:c>
      <x:c r="J52" s="1"/>
    </x:row>
    <x:row r="53" ht="21" customHeight="1">
      <x:c r="A53" s="1" t="n">
        <x:v>13</x:v>
      </x:c>
      <x:c r="B53" s="1" t="n">
        <x:v>48</x:v>
      </x:c>
      <x:c r="C53" s="1" t="str">
        <x:f>_xlfn.IFNA(VLOOKUP(A53,Advertisers!$A$5:$B$29,2,FALSE),"Missing advertiser")</x:f>
        <x:v>Synthetic advertiser 13</x:v>
      </x:c>
      <x:c r="D53" s="7" t="n">
        <x:v>108</x:v>
      </x:c>
      <x:c r="E53" s="7" t="n">
        <x:v>2</x:v>
      </x:c>
      <x:c r="F53" s="6" t="n">
        <x:f>IF(D53=0,"n.a.",E53/D53)</x:f>
        <x:v>0.018518518518518517</x:v>
      </x:c>
      <x:c r="G53" s="1" t="str">
        <x:v>Review with confidence interval and campaign objective</x:v>
      </x:c>
      <x:c r="H53" s="3"/>
      <x:c r="I53" s="3" t="str">
        <x:v>Unreviewed</x:v>
      </x:c>
      <x:c r="J53" s="1"/>
    </x:row>
    <x:row r="54" ht="21" customHeight="1">
      <x:c r="A54" s="1" t="n">
        <x:v>13</x:v>
      </x:c>
      <x:c r="B54" s="1" t="n">
        <x:v>49</x:v>
      </x:c>
      <x:c r="C54" s="1" t="str">
        <x:f>_xlfn.IFNA(VLOOKUP(A54,Advertisers!$A$5:$B$29,2,FALSE),"Missing advertiser")</x:f>
        <x:v>Synthetic advertiser 13</x:v>
      </x:c>
      <x:c r="D54" s="7" t="n">
        <x:v>361</x:v>
      </x:c>
      <x:c r="E54" s="7" t="n">
        <x:v>5</x:v>
      </x:c>
      <x:c r="F54" s="6" t="n">
        <x:f>IF(D54=0,"n.a.",E54/D54)</x:f>
        <x:v>0.013850415512465374</x:v>
      </x:c>
      <x:c r="G54" s="1" t="str">
        <x:v>Review with confidence interval and campaign objective</x:v>
      </x:c>
      <x:c r="H54" s="3"/>
      <x:c r="I54" s="3" t="str">
        <x:v>Unreviewed</x:v>
      </x:c>
      <x:c r="J54" s="1"/>
    </x:row>
    <x:row r="55" ht="21" customHeight="1">
      <x:c r="A55" s="1" t="n">
        <x:v>14</x:v>
      </x:c>
      <x:c r="B55" s="1" t="n">
        <x:v>50</x:v>
      </x:c>
      <x:c r="C55" s="1" t="str">
        <x:f>_xlfn.IFNA(VLOOKUP(A55,Advertisers!$A$5:$B$29,2,FALSE),"Missing advertiser")</x:f>
        <x:v>Synthetic advertiser 14</x:v>
      </x:c>
      <x:c r="D55" s="7" t="n">
        <x:v>232</x:v>
      </x:c>
      <x:c r="E55" s="7" t="n">
        <x:v>1</x:v>
      </x:c>
      <x:c r="F55" s="6" t="n">
        <x:f>IF(D55=0,"n.a.",E55/D55)</x:f>
        <x:v>0.004310344827586207</x:v>
      </x:c>
      <x:c r="G55" s="1" t="str">
        <x:v>Review with confidence interval and campaign objective</x:v>
      </x:c>
      <x:c r="H55" s="3"/>
      <x:c r="I55" s="3" t="str">
        <x:v>Unreviewed</x:v>
      </x:c>
      <x:c r="J55" s="1"/>
    </x:row>
    <x:row r="56" ht="21" customHeight="1">
      <x:c r="A56" s="1" t="n">
        <x:v>14</x:v>
      </x:c>
      <x:c r="B56" s="1" t="n">
        <x:v>51</x:v>
      </x:c>
      <x:c r="C56" s="1" t="str">
        <x:f>_xlfn.IFNA(VLOOKUP(A56,Advertisers!$A$5:$B$29,2,FALSE),"Missing advertiser")</x:f>
        <x:v>Synthetic advertiser 14</x:v>
      </x:c>
      <x:c r="D56" s="7" t="n">
        <x:v>384</x:v>
      </x:c>
      <x:c r="E56" s="7" t="n">
        <x:v>11</x:v>
      </x:c>
      <x:c r="F56" s="6" t="n">
        <x:f>IF(D56=0,"n.a.",E56/D56)</x:f>
        <x:v>0.028645833333333332</x:v>
      </x:c>
      <x:c r="G56" s="1" t="str">
        <x:v>Review with confidence interval and campaign objective</x:v>
      </x:c>
      <x:c r="H56" s="3"/>
      <x:c r="I56" s="3" t="str">
        <x:v>Unreviewed</x:v>
      </x:c>
      <x:c r="J56" s="1"/>
    </x:row>
    <x:row r="57" ht="21" customHeight="1">
      <x:c r="A57" s="1" t="n">
        <x:v>14</x:v>
      </x:c>
      <x:c r="B57" s="1" t="n">
        <x:v>52</x:v>
      </x:c>
      <x:c r="C57" s="1" t="str">
        <x:f>_xlfn.IFNA(VLOOKUP(A57,Advertisers!$A$5:$B$29,2,FALSE),"Missing advertiser")</x:f>
        <x:v>Synthetic advertiser 14</x:v>
      </x:c>
      <x:c r="D57" s="7" t="n">
        <x:v>125</x:v>
      </x:c>
      <x:c r="E57" s="7" t="n">
        <x:v>6</x:v>
      </x:c>
      <x:c r="F57" s="6" t="n">
        <x:f>IF(D57=0,"n.a.",E57/D57)</x:f>
        <x:v>0.048</x:v>
      </x:c>
      <x:c r="G57" s="1" t="str">
        <x:v>Review with confidence interval and campaign objective</x:v>
      </x:c>
      <x:c r="H57" s="3"/>
      <x:c r="I57" s="3" t="str">
        <x:v>Unreviewed</x:v>
      </x:c>
      <x:c r="J57" s="1"/>
    </x:row>
    <x:row r="58" ht="21" customHeight="1">
      <x:c r="A58" s="1" t="n">
        <x:v>14</x:v>
      </x:c>
      <x:c r="B58" s="1" t="n">
        <x:v>53</x:v>
      </x:c>
      <x:c r="C58" s="1" t="str">
        <x:f>_xlfn.IFNA(VLOOKUP(A58,Advertisers!$A$5:$B$29,2,FALSE),"Missing advertiser")</x:f>
        <x:v>Synthetic advertiser 14</x:v>
      </x:c>
      <x:c r="D58" s="7" t="n">
        <x:v>226</x:v>
      </x:c>
      <x:c r="E58" s="7" t="n">
        <x:v>6</x:v>
      </x:c>
      <x:c r="F58" s="6" t="n">
        <x:f>IF(D58=0,"n.a.",E58/D58)</x:f>
        <x:v>0.02654867256637168</x:v>
      </x:c>
      <x:c r="G58" s="1" t="str">
        <x:v>Review with confidence interval and campaign objective</x:v>
      </x:c>
      <x:c r="H58" s="3"/>
      <x:c r="I58" s="3" t="str">
        <x:v>Unreviewed</x:v>
      </x:c>
      <x:c r="J58" s="1"/>
    </x:row>
    <x:row r="59" ht="21" customHeight="1">
      <x:c r="A59" s="1" t="n">
        <x:v>15</x:v>
      </x:c>
      <x:c r="B59" s="1" t="n">
        <x:v>54</x:v>
      </x:c>
      <x:c r="C59" s="1" t="str">
        <x:f>_xlfn.IFNA(VLOOKUP(A59,Advertisers!$A$5:$B$29,2,FALSE),"Missing advertiser")</x:f>
        <x:v>Synthetic advertiser 15</x:v>
      </x:c>
      <x:c r="D59" s="7" t="n">
        <x:v>216</x:v>
      </x:c>
      <x:c r="E59" s="7" t="n">
        <x:v>5</x:v>
      </x:c>
      <x:c r="F59" s="6" t="n">
        <x:f>IF(D59=0,"n.a.",E59/D59)</x:f>
        <x:v>0.023148148148148147</x:v>
      </x:c>
      <x:c r="G59" s="1" t="str">
        <x:v>Review with confidence interval and campaign objective</x:v>
      </x:c>
      <x:c r="H59" s="3"/>
      <x:c r="I59" s="3" t="str">
        <x:v>Unreviewed</x:v>
      </x:c>
      <x:c r="J59" s="1"/>
    </x:row>
    <x:row r="60" ht="21" customHeight="1">
      <x:c r="A60" s="1" t="n">
        <x:v>16</x:v>
      </x:c>
      <x:c r="B60" s="1" t="n">
        <x:v>55</x:v>
      </x:c>
      <x:c r="C60" s="1" t="str">
        <x:f>_xlfn.IFNA(VLOOKUP(A60,Advertisers!$A$5:$B$29,2,FALSE),"Missing advertiser")</x:f>
        <x:v>Synthetic advertiser 16</x:v>
      </x:c>
      <x:c r="D60" s="7" t="n">
        <x:v>127</x:v>
      </x:c>
      <x:c r="E60" s="7" t="n">
        <x:v>2</x:v>
      </x:c>
      <x:c r="F60" s="6" t="n">
        <x:f>IF(D60=0,"n.a.",E60/D60)</x:f>
        <x:v>0.015748031496062992</x:v>
      </x:c>
      <x:c r="G60" s="1" t="str">
        <x:v>Review with confidence interval and campaign objective</x:v>
      </x:c>
      <x:c r="H60" s="3"/>
      <x:c r="I60" s="3" t="str">
        <x:v>Unreviewed</x:v>
      </x:c>
      <x:c r="J60" s="1"/>
    </x:row>
    <x:row r="61" ht="21" customHeight="1">
      <x:c r="A61" s="1" t="n">
        <x:v>17</x:v>
      </x:c>
      <x:c r="B61" s="1" t="n">
        <x:v>56</x:v>
      </x:c>
      <x:c r="C61" s="1" t="str">
        <x:f>_xlfn.IFNA(VLOOKUP(A61,Advertisers!$A$5:$B$29,2,FALSE),"Missing advertiser")</x:f>
        <x:v>Synthetic advertiser 17</x:v>
      </x:c>
      <x:c r="D61" s="7" t="n">
        <x:v>478</x:v>
      </x:c>
      <x:c r="E61" s="7" t="n">
        <x:v>9</x:v>
      </x:c>
      <x:c r="F61" s="6" t="n">
        <x:f>IF(D61=0,"n.a.",E61/D61)</x:f>
        <x:v>0.01882845188284519</x:v>
      </x:c>
      <x:c r="G61" s="1" t="str">
        <x:v>Review with confidence interval and campaign objective</x:v>
      </x:c>
      <x:c r="H61" s="3"/>
      <x:c r="I61" s="3" t="str">
        <x:v>Unreviewed</x:v>
      </x:c>
      <x:c r="J61" s="1"/>
    </x:row>
    <x:row r="62" ht="21" customHeight="1">
      <x:c r="A62" s="1" t="n">
        <x:v>17</x:v>
      </x:c>
      <x:c r="B62" s="1" t="n">
        <x:v>57</x:v>
      </x:c>
      <x:c r="C62" s="1" t="str">
        <x:f>_xlfn.IFNA(VLOOKUP(A62,Advertisers!$A$5:$B$29,2,FALSE),"Missing advertiser")</x:f>
        <x:v>Synthetic advertiser 17</x:v>
      </x:c>
      <x:c r="D62" s="7" t="n">
        <x:v>368</x:v>
      </x:c>
      <x:c r="E62" s="7" t="n">
        <x:v>12</x:v>
      </x:c>
      <x:c r="F62" s="6" t="n">
        <x:f>IF(D62=0,"n.a.",E62/D62)</x:f>
        <x:v>0.03260869565217391</x:v>
      </x:c>
      <x:c r="G62" s="1" t="str">
        <x:v>Review with confidence interval and campaign objective</x:v>
      </x:c>
      <x:c r="H62" s="3"/>
      <x:c r="I62" s="3" t="str">
        <x:v>Unreviewed</x:v>
      </x:c>
      <x:c r="J62" s="1"/>
    </x:row>
    <x:row r="63" ht="21" customHeight="1">
      <x:c r="A63" s="1" t="n">
        <x:v>18</x:v>
      </x:c>
      <x:c r="B63" s="1" t="n">
        <x:v>58</x:v>
      </x:c>
      <x:c r="C63" s="1" t="str">
        <x:f>_xlfn.IFNA(VLOOKUP(A63,Advertisers!$A$5:$B$29,2,FALSE),"Missing advertiser")</x:f>
        <x:v>Synthetic advertiser 18</x:v>
      </x:c>
      <x:c r="D63" s="7" t="n">
        <x:v>454</x:v>
      </x:c>
      <x:c r="E63" s="7" t="n">
        <x:v>12</x:v>
      </x:c>
      <x:c r="F63" s="6" t="n">
        <x:f>IF(D63=0,"n.a.",E63/D63)</x:f>
        <x:v>0.02643171806167401</x:v>
      </x:c>
      <x:c r="G63" s="1" t="str">
        <x:v>Review with confidence interval and campaign objective</x:v>
      </x:c>
      <x:c r="H63" s="3"/>
      <x:c r="I63" s="3" t="str">
        <x:v>Unreviewed</x:v>
      </x:c>
      <x:c r="J63" s="1"/>
    </x:row>
    <x:row r="64" ht="21" customHeight="1">
      <x:c r="A64" s="1" t="n">
        <x:v>18</x:v>
      </x:c>
      <x:c r="B64" s="1" t="n">
        <x:v>59</x:v>
      </x:c>
      <x:c r="C64" s="1" t="str">
        <x:f>_xlfn.IFNA(VLOOKUP(A64,Advertisers!$A$5:$B$29,2,FALSE),"Missing advertiser")</x:f>
        <x:v>Synthetic advertiser 18</x:v>
      </x:c>
      <x:c r="D64" s="7" t="n">
        <x:v>478</x:v>
      </x:c>
      <x:c r="E64" s="7" t="n">
        <x:v>5</x:v>
      </x:c>
      <x:c r="F64" s="6" t="n">
        <x:f>IF(D64=0,"n.a.",E64/D64)</x:f>
        <x:v>0.010460251046025104</x:v>
      </x:c>
      <x:c r="G64" s="1" t="str">
        <x:v>Review with confidence interval and campaign objective</x:v>
      </x:c>
      <x:c r="H64" s="3"/>
      <x:c r="I64" s="3" t="str">
        <x:v>Unreviewed</x:v>
      </x:c>
      <x:c r="J64" s="1"/>
    </x:row>
    <x:row r="65" ht="21" customHeight="1">
      <x:c r="A65" s="1" t="n">
        <x:v>18</x:v>
      </x:c>
      <x:c r="B65" s="1" t="n">
        <x:v>60</x:v>
      </x:c>
      <x:c r="C65" s="1" t="str">
        <x:f>_xlfn.IFNA(VLOOKUP(A65,Advertisers!$A$5:$B$29,2,FALSE),"Missing advertiser")</x:f>
        <x:v>Synthetic advertiser 18</x:v>
      </x:c>
      <x:c r="D65" s="7" t="n">
        <x:v>108</x:v>
      </x:c>
      <x:c r="E65" s="7" t="n">
        <x:v>1</x:v>
      </x:c>
      <x:c r="F65" s="6" t="n">
        <x:f>IF(D65=0,"n.a.",E65/D65)</x:f>
        <x:v>0.009259259259259259</x:v>
      </x:c>
      <x:c r="G65" s="1" t="str">
        <x:v>Review with confidence interval and campaign objective</x:v>
      </x:c>
      <x:c r="H65" s="3"/>
      <x:c r="I65" s="3" t="str">
        <x:v>Unreviewed</x:v>
      </x:c>
      <x:c r="J65" s="1"/>
    </x:row>
    <x:row r="66" ht="21" customHeight="1">
      <x:c r="A66" s="1" t="n">
        <x:v>18</x:v>
      </x:c>
      <x:c r="B66" s="1" t="n">
        <x:v>61</x:v>
      </x:c>
      <x:c r="C66" s="1" t="str">
        <x:f>_xlfn.IFNA(VLOOKUP(A66,Advertisers!$A$5:$B$29,2,FALSE),"Missing advertiser")</x:f>
        <x:v>Synthetic advertiser 18</x:v>
      </x:c>
      <x:c r="D66" s="7" t="n">
        <x:v>511</x:v>
      </x:c>
      <x:c r="E66" s="7" t="n">
        <x:v>2</x:v>
      </x:c>
      <x:c r="F66" s="6" t="n">
        <x:f>IF(D66=0,"n.a.",E66/D66)</x:f>
        <x:v>0.003913894324853229</x:v>
      </x:c>
      <x:c r="G66" s="1" t="str">
        <x:v>Review with confidence interval and campaign objective</x:v>
      </x:c>
      <x:c r="H66" s="3"/>
      <x:c r="I66" s="3" t="str">
        <x:v>Unreviewed</x:v>
      </x:c>
      <x:c r="J66" s="1"/>
    </x:row>
    <x:row r="67" ht="21" customHeight="1">
      <x:c r="A67" s="1" t="n">
        <x:v>18</x:v>
      </x:c>
      <x:c r="B67" s="1" t="n">
        <x:v>62</x:v>
      </x:c>
      <x:c r="C67" s="1" t="str">
        <x:f>_xlfn.IFNA(VLOOKUP(A67,Advertisers!$A$5:$B$29,2,FALSE),"Missing advertiser")</x:f>
        <x:v>Synthetic advertiser 18</x:v>
      </x:c>
      <x:c r="D67" s="7" t="n">
        <x:v>124</x:v>
      </x:c>
      <x:c r="E67" s="7" t="n">
        <x:v>4</x:v>
      </x:c>
      <x:c r="F67" s="6" t="n">
        <x:f>IF(D67=0,"n.a.",E67/D67)</x:f>
        <x:v>0.03225806451612903</x:v>
      </x:c>
      <x:c r="G67" s="1" t="str">
        <x:v>Review with confidence interval and campaign objective</x:v>
      </x:c>
      <x:c r="H67" s="3"/>
      <x:c r="I67" s="3" t="str">
        <x:v>Unreviewed</x:v>
      </x:c>
      <x:c r="J67" s="1"/>
    </x:row>
    <x:row r="68" ht="21" customHeight="1">
      <x:c r="A68" s="1" t="n">
        <x:v>19</x:v>
      </x:c>
      <x:c r="B68" s="1" t="n">
        <x:v>63</x:v>
      </x:c>
      <x:c r="C68" s="1" t="str">
        <x:f>_xlfn.IFNA(VLOOKUP(A68,Advertisers!$A$5:$B$29,2,FALSE),"Missing advertiser")</x:f>
        <x:v>Synthetic advertiser 19</x:v>
      </x:c>
      <x:c r="D68" s="7" t="n">
        <x:v>460</x:v>
      </x:c>
      <x:c r="E68" s="7" t="n">
        <x:v>10</x:v>
      </x:c>
      <x:c r="F68" s="6" t="n">
        <x:f>IF(D68=0,"n.a.",E68/D68)</x:f>
        <x:v>0.021739130434782608</x:v>
      </x:c>
      <x:c r="G68" s="1" t="str">
        <x:v>Review with confidence interval and campaign objective</x:v>
      </x:c>
      <x:c r="H68" s="3"/>
      <x:c r="I68" s="3" t="str">
        <x:v>Unreviewed</x:v>
      </x:c>
      <x:c r="J68" s="1"/>
    </x:row>
    <x:row r="69" ht="21" customHeight="1">
      <x:c r="A69" s="1" t="n">
        <x:v>19</x:v>
      </x:c>
      <x:c r="B69" s="1" t="n">
        <x:v>64</x:v>
      </x:c>
      <x:c r="C69" s="1" t="str">
        <x:f>_xlfn.IFNA(VLOOKUP(A69,Advertisers!$A$5:$B$29,2,FALSE),"Missing advertiser")</x:f>
        <x:v>Synthetic advertiser 19</x:v>
      </x:c>
      <x:c r="D69" s="7" t="n">
        <x:v>347</x:v>
      </x:c>
      <x:c r="E69" s="7" t="n">
        <x:v>4</x:v>
      </x:c>
      <x:c r="F69" s="6" t="n">
        <x:f>IF(D69=0,"n.a.",E69/D69)</x:f>
        <x:v>0.011527377521613832</x:v>
      </x:c>
      <x:c r="G69" s="1" t="str">
        <x:v>Review with confidence interval and campaign objective</x:v>
      </x:c>
      <x:c r="H69" s="3"/>
      <x:c r="I69" s="3" t="str">
        <x:v>Unreviewed</x:v>
      </x:c>
      <x:c r="J69" s="1"/>
    </x:row>
    <x:row r="70" ht="21" customHeight="1">
      <x:c r="A70" s="1" t="n">
        <x:v>19</x:v>
      </x:c>
      <x:c r="B70" s="1" t="n">
        <x:v>65</x:v>
      </x:c>
      <x:c r="C70" s="1" t="str">
        <x:f>_xlfn.IFNA(VLOOKUP(A70,Advertisers!$A$5:$B$29,2,FALSE),"Missing advertiser")</x:f>
        <x:v>Synthetic advertiser 19</x:v>
      </x:c>
      <x:c r="D70" s="7" t="n">
        <x:v>530</x:v>
      </x:c>
      <x:c r="E70" s="7" t="n">
        <x:v>15</x:v>
      </x:c>
      <x:c r="F70" s="6" t="n">
        <x:f>IF(D70=0,"n.a.",E70/D70)</x:f>
        <x:v>0.02830188679245283</x:v>
      </x:c>
      <x:c r="G70" s="1" t="str">
        <x:v>Review with confidence interval and campaign objective</x:v>
      </x:c>
      <x:c r="H70" s="3"/>
      <x:c r="I70" s="3" t="str">
        <x:v>Unreviewed</x:v>
      </x:c>
      <x:c r="J70" s="1"/>
    </x:row>
    <x:row r="71" ht="21" customHeight="1">
      <x:c r="A71" s="1" t="n">
        <x:v>19</x:v>
      </x:c>
      <x:c r="B71" s="1" t="n">
        <x:v>66</x:v>
      </x:c>
      <x:c r="C71" s="1" t="str">
        <x:f>_xlfn.IFNA(VLOOKUP(A71,Advertisers!$A$5:$B$29,2,FALSE),"Missing advertiser")</x:f>
        <x:v>Synthetic advertiser 19</x:v>
      </x:c>
      <x:c r="D71" s="7" t="n">
        <x:v>250</x:v>
      </x:c>
      <x:c r="E71" s="7" t="n">
        <x:v>2</x:v>
      </x:c>
      <x:c r="F71" s="6" t="n">
        <x:f>IF(D71=0,"n.a.",E71/D71)</x:f>
        <x:v>0.008</x:v>
      </x:c>
      <x:c r="G71" s="1" t="str">
        <x:v>Review with confidence interval and campaign objective</x:v>
      </x:c>
      <x:c r="H71" s="3"/>
      <x:c r="I71" s="3" t="str">
        <x:v>Unreviewed</x:v>
      </x:c>
      <x:c r="J71" s="1"/>
    </x:row>
    <x:row r="72" ht="21" customHeight="1">
      <x:c r="A72" s="1" t="n">
        <x:v>20</x:v>
      </x:c>
      <x:c r="B72" s="1" t="n">
        <x:v>67</x:v>
      </x:c>
      <x:c r="C72" s="1" t="str">
        <x:f>_xlfn.IFNA(VLOOKUP(A72,Advertisers!$A$5:$B$29,2,FALSE),"Missing advertiser")</x:f>
        <x:v>Synthetic advertiser 20</x:v>
      </x:c>
      <x:c r="D72" s="7" t="n">
        <x:v>133</x:v>
      </x:c>
      <x:c r="E72" s="7" t="n">
        <x:v>5</x:v>
      </x:c>
      <x:c r="F72" s="6" t="n">
        <x:f>IF(D72=0,"n.a.",E72/D72)</x:f>
        <x:v>0.03759398496240601</x:v>
      </x:c>
      <x:c r="G72" s="1" t="str">
        <x:v>Review with confidence interval and campaign objective</x:v>
      </x:c>
      <x:c r="H72" s="3"/>
      <x:c r="I72" s="3" t="str">
        <x:v>Unreviewed</x:v>
      </x:c>
      <x:c r="J72" s="1"/>
    </x:row>
    <x:row r="73" ht="21" customHeight="1">
      <x:c r="A73" s="1" t="n">
        <x:v>20</x:v>
      </x:c>
      <x:c r="B73" s="1" t="n">
        <x:v>68</x:v>
      </x:c>
      <x:c r="C73" s="1" t="str">
        <x:f>_xlfn.IFNA(VLOOKUP(A73,Advertisers!$A$5:$B$29,2,FALSE),"Missing advertiser")</x:f>
        <x:v>Synthetic advertiser 20</x:v>
      </x:c>
      <x:c r="D73" s="7" t="n">
        <x:v>112</x:v>
      </x:c>
      <x:c r="E73" s="7" t="n">
        <x:v>3</x:v>
      </x:c>
      <x:c r="F73" s="6" t="n">
        <x:f>IF(D73=0,"n.a.",E73/D73)</x:f>
        <x:v>0.026785714285714284</x:v>
      </x:c>
      <x:c r="G73" s="1" t="str">
        <x:v>Review with confidence interval and campaign objective</x:v>
      </x:c>
      <x:c r="H73" s="3"/>
      <x:c r="I73" s="3" t="str">
        <x:v>Unreviewed</x:v>
      </x:c>
      <x:c r="J73" s="1"/>
    </x:row>
    <x:row r="74" ht="21" customHeight="1">
      <x:c r="A74" s="1" t="n">
        <x:v>20</x:v>
      </x:c>
      <x:c r="B74" s="1" t="n">
        <x:v>69</x:v>
      </x:c>
      <x:c r="C74" s="1" t="str">
        <x:f>_xlfn.IFNA(VLOOKUP(A74,Advertisers!$A$5:$B$29,2,FALSE),"Missing advertiser")</x:f>
        <x:v>Synthetic advertiser 20</x:v>
      </x:c>
      <x:c r="D74" s="7" t="n">
        <x:v>110</x:v>
      </x:c>
      <x:c r="E74" s="7" t="n">
        <x:v>4</x:v>
      </x:c>
      <x:c r="F74" s="6" t="n">
        <x:f>IF(D74=0,"n.a.",E74/D74)</x:f>
        <x:v>0.03636363636363636</x:v>
      </x:c>
      <x:c r="G74" s="1" t="str">
        <x:v>Review with confidence interval and campaign objective</x:v>
      </x:c>
      <x:c r="H74" s="3"/>
      <x:c r="I74" s="3" t="str">
        <x:v>Unreviewed</x:v>
      </x:c>
      <x:c r="J74" s="1"/>
    </x:row>
    <x:row r="75" ht="21" customHeight="1">
      <x:c r="A75" s="1" t="n">
        <x:v>21</x:v>
      </x:c>
      <x:c r="B75" s="1" t="n">
        <x:v>70</x:v>
      </x:c>
      <x:c r="C75" s="1" t="str">
        <x:f>_xlfn.IFNA(VLOOKUP(A75,Advertisers!$A$5:$B$29,2,FALSE),"Missing advertiser")</x:f>
        <x:v>Synthetic advertiser 21</x:v>
      </x:c>
      <x:c r="D75" s="7" t="n">
        <x:v>458</x:v>
      </x:c>
      <x:c r="E75" s="7" t="n">
        <x:v>5</x:v>
      </x:c>
      <x:c r="F75" s="6" t="n">
        <x:f>IF(D75=0,"n.a.",E75/D75)</x:f>
        <x:v>0.010917030567685589</x:v>
      </x:c>
      <x:c r="G75" s="1" t="str">
        <x:v>Review with confidence interval and campaign objective</x:v>
      </x:c>
      <x:c r="H75" s="3"/>
      <x:c r="I75" s="3" t="str">
        <x:v>Unreviewed</x:v>
      </x:c>
      <x:c r="J75" s="1"/>
    </x:row>
    <x:row r="76" ht="21" customHeight="1">
      <x:c r="A76" s="1" t="n">
        <x:v>21</x:v>
      </x:c>
      <x:c r="B76" s="1" t="n">
        <x:v>71</x:v>
      </x:c>
      <x:c r="C76" s="1" t="str">
        <x:f>_xlfn.IFNA(VLOOKUP(A76,Advertisers!$A$5:$B$29,2,FALSE),"Missing advertiser")</x:f>
        <x:v>Synthetic advertiser 21</x:v>
      </x:c>
      <x:c r="D76" s="7" t="n">
        <x:v>366</x:v>
      </x:c>
      <x:c r="E76" s="7" t="n">
        <x:v>3</x:v>
      </x:c>
      <x:c r="F76" s="6" t="n">
        <x:f>IF(D76=0,"n.a.",E76/D76)</x:f>
        <x:v>0.00819672131147541</x:v>
      </x:c>
      <x:c r="G76" s="1" t="str">
        <x:v>Review with confidence interval and campaign objective</x:v>
      </x:c>
      <x:c r="H76" s="3"/>
      <x:c r="I76" s="3" t="str">
        <x:v>Unreviewed</x:v>
      </x:c>
      <x:c r="J76" s="1"/>
    </x:row>
    <x:row r="77" ht="21" customHeight="1">
      <x:c r="A77" s="1" t="n">
        <x:v>21</x:v>
      </x:c>
      <x:c r="B77" s="1" t="n">
        <x:v>72</x:v>
      </x:c>
      <x:c r="C77" s="1" t="str">
        <x:f>_xlfn.IFNA(VLOOKUP(A77,Advertisers!$A$5:$B$29,2,FALSE),"Missing advertiser")</x:f>
        <x:v>Synthetic advertiser 21</x:v>
      </x:c>
      <x:c r="D77" s="7" t="n">
        <x:v>103</x:v>
      </x:c>
      <x:c r="E77" s="7" t="n">
        <x:v>0</x:v>
      </x:c>
      <x:c r="F77" s="6" t="n">
        <x:f>IF(D77=0,"n.a.",E77/D77)</x:f>
        <x:v>0</x:v>
      </x:c>
      <x:c r="G77" s="1" t="str">
        <x:v>No observed clicks; investigate sample size</x:v>
      </x:c>
      <x:c r="H77" s="3"/>
      <x:c r="I77" s="3" t="str">
        <x:v>Unreviewed</x:v>
      </x:c>
      <x:c r="J77" s="1"/>
    </x:row>
    <x:row r="78" ht="21" customHeight="1">
      <x:c r="A78" s="1" t="n">
        <x:v>21</x:v>
      </x:c>
      <x:c r="B78" s="1" t="n">
        <x:v>73</x:v>
      </x:c>
      <x:c r="C78" s="1" t="str">
        <x:f>_xlfn.IFNA(VLOOKUP(A78,Advertisers!$A$5:$B$29,2,FALSE),"Missing advertiser")</x:f>
        <x:v>Synthetic advertiser 21</x:v>
      </x:c>
      <x:c r="D78" s="7" t="n">
        <x:v>127</x:v>
      </x:c>
      <x:c r="E78" s="7" t="n">
        <x:v>4</x:v>
      </x:c>
      <x:c r="F78" s="6" t="n">
        <x:f>IF(D78=0,"n.a.",E78/D78)</x:f>
        <x:v>0.031496062992125984</x:v>
      </x:c>
      <x:c r="G78" s="1" t="str">
        <x:v>Review with confidence interval and campaign objective</x:v>
      </x:c>
      <x:c r="H78" s="3"/>
      <x:c r="I78" s="3" t="str">
        <x:v>Unreviewed</x:v>
      </x:c>
      <x:c r="J78" s="1"/>
    </x:row>
    <x:row r="79" ht="21" customHeight="1">
      <x:c r="A79" s="1" t="n">
        <x:v>22</x:v>
      </x:c>
      <x:c r="B79" s="1" t="n">
        <x:v>74</x:v>
      </x:c>
      <x:c r="C79" s="1" t="str">
        <x:f>_xlfn.IFNA(VLOOKUP(A79,Advertisers!$A$5:$B$29,2,FALSE),"Missing advertiser")</x:f>
        <x:v>Synthetic advertiser 22</x:v>
      </x:c>
      <x:c r="D79" s="7" t="n">
        <x:v>108</x:v>
      </x:c>
      <x:c r="E79" s="7" t="n">
        <x:v>0</x:v>
      </x:c>
      <x:c r="F79" s="6" t="n">
        <x:f>IF(D79=0,"n.a.",E79/D79)</x:f>
        <x:v>0</x:v>
      </x:c>
      <x:c r="G79" s="1" t="str">
        <x:v>No observed clicks; investigate sample size</x:v>
      </x:c>
      <x:c r="H79" s="3"/>
      <x:c r="I79" s="3" t="str">
        <x:v>Unreviewed</x:v>
      </x:c>
      <x:c r="J79" s="1"/>
    </x:row>
    <x:row r="80" ht="21" customHeight="1">
      <x:c r="A80" s="1" t="n">
        <x:v>22</x:v>
      </x:c>
      <x:c r="B80" s="1" t="n">
        <x:v>75</x:v>
      </x:c>
      <x:c r="C80" s="1" t="str">
        <x:f>_xlfn.IFNA(VLOOKUP(A80,Advertisers!$A$5:$B$29,2,FALSE),"Missing advertiser")</x:f>
        <x:v>Synthetic advertiser 22</x:v>
      </x:c>
      <x:c r="D80" s="7" t="n">
        <x:v>232</x:v>
      </x:c>
      <x:c r="E80" s="7" t="n">
        <x:v>1</x:v>
      </x:c>
      <x:c r="F80" s="6" t="n">
        <x:f>IF(D80=0,"n.a.",E80/D80)</x:f>
        <x:v>0.004310344827586207</x:v>
      </x:c>
      <x:c r="G80" s="1" t="str">
        <x:v>Review with confidence interval and campaign objective</x:v>
      </x:c>
      <x:c r="H80" s="3"/>
      <x:c r="I80" s="3" t="str">
        <x:v>Unreviewed</x:v>
      </x:c>
      <x:c r="J80" s="1"/>
    </x:row>
    <x:row r="81" ht="21" customHeight="1">
      <x:c r="A81" s="1" t="n">
        <x:v>22</x:v>
      </x:c>
      <x:c r="B81" s="1" t="n">
        <x:v>76</x:v>
      </x:c>
      <x:c r="C81" s="1" t="str">
        <x:f>_xlfn.IFNA(VLOOKUP(A81,Advertisers!$A$5:$B$29,2,FALSE),"Missing advertiser")</x:f>
        <x:v>Synthetic advertiser 22</x:v>
      </x:c>
      <x:c r="D81" s="7" t="n">
        <x:v>378</x:v>
      </x:c>
      <x:c r="E81" s="7" t="n">
        <x:v>10</x:v>
      </x:c>
      <x:c r="F81" s="6" t="n">
        <x:f>IF(D81=0,"n.a.",E81/D81)</x:f>
        <x:v>0.026455026455026454</x:v>
      </x:c>
      <x:c r="G81" s="1" t="str">
        <x:v>Review with confidence interval and campaign objective</x:v>
      </x:c>
      <x:c r="H81" s="3"/>
      <x:c r="I81" s="3" t="str">
        <x:v>Unreviewed</x:v>
      </x:c>
      <x:c r="J81" s="1"/>
    </x:row>
    <x:row r="82" ht="21" customHeight="1">
      <x:c r="A82" s="1" t="n">
        <x:v>23</x:v>
      </x:c>
      <x:c r="B82" s="1" t="n">
        <x:v>77</x:v>
      </x:c>
      <x:c r="C82" s="1" t="str">
        <x:f>_xlfn.IFNA(VLOOKUP(A82,Advertisers!$A$5:$B$29,2,FALSE),"Missing advertiser")</x:f>
        <x:v>Synthetic advertiser 23</x:v>
      </x:c>
      <x:c r="D82" s="7" t="n">
        <x:v>480</x:v>
      </x:c>
      <x:c r="E82" s="7" t="n">
        <x:v>8</x:v>
      </x:c>
      <x:c r="F82" s="6" t="n">
        <x:f>IF(D82=0,"n.a.",E82/D82)</x:f>
        <x:v>0.016666666666666666</x:v>
      </x:c>
      <x:c r="G82" s="1" t="str">
        <x:v>Review with confidence interval and campaign objective</x:v>
      </x:c>
      <x:c r="H82" s="3"/>
      <x:c r="I82" s="3" t="str">
        <x:v>Unreviewed</x:v>
      </x:c>
      <x:c r="J82" s="1"/>
    </x:row>
    <x:row r="83" ht="21" customHeight="1">
      <x:c r="A83" s="1" t="n">
        <x:v>23</x:v>
      </x:c>
      <x:c r="B83" s="1" t="n">
        <x:v>78</x:v>
      </x:c>
      <x:c r="C83" s="1" t="str">
        <x:f>_xlfn.IFNA(VLOOKUP(A83,Advertisers!$A$5:$B$29,2,FALSE),"Missing advertiser")</x:f>
        <x:v>Synthetic advertiser 23</x:v>
      </x:c>
      <x:c r="D83" s="7" t="n">
        <x:v>353</x:v>
      </x:c>
      <x:c r="E83" s="7" t="n">
        <x:v>7</x:v>
      </x:c>
      <x:c r="F83" s="6" t="n">
        <x:f>IF(D83=0,"n.a.",E83/D83)</x:f>
        <x:v>0.019830028328611898</x:v>
      </x:c>
      <x:c r="G83" s="1" t="str">
        <x:v>Review with confidence interval and campaign objective</x:v>
      </x:c>
      <x:c r="H83" s="3"/>
      <x:c r="I83" s="3" t="str">
        <x:v>Unreviewed</x:v>
      </x:c>
      <x:c r="J83" s="1"/>
    </x:row>
    <x:row r="84" ht="21" customHeight="1">
      <x:c r="A84" s="1" t="n">
        <x:v>23</x:v>
      </x:c>
      <x:c r="B84" s="1" t="n">
        <x:v>79</x:v>
      </x:c>
      <x:c r="C84" s="1" t="str">
        <x:f>_xlfn.IFNA(VLOOKUP(A84,Advertisers!$A$5:$B$29,2,FALSE),"Missing advertiser")</x:f>
        <x:v>Synthetic advertiser 23</x:v>
      </x:c>
      <x:c r="D84" s="7" t="n">
        <x:v>483</x:v>
      </x:c>
      <x:c r="E84" s="7" t="n">
        <x:v>8</x:v>
      </x:c>
      <x:c r="F84" s="6" t="n">
        <x:f>IF(D84=0,"n.a.",E84/D84)</x:f>
        <x:v>0.016563146997929608</x:v>
      </x:c>
      <x:c r="G84" s="1" t="str">
        <x:v>Review with confidence interval and campaign objective</x:v>
      </x:c>
      <x:c r="H84" s="3"/>
      <x:c r="I84" s="3" t="str">
        <x:v>Unreviewed</x:v>
      </x:c>
      <x:c r="J84" s="1"/>
    </x:row>
    <x:row r="85" ht="21" customHeight="1">
      <x:c r="A85" s="1" t="n">
        <x:v>23</x:v>
      </x:c>
      <x:c r="B85" s="1" t="n">
        <x:v>80</x:v>
      </x:c>
      <x:c r="C85" s="1" t="str">
        <x:f>_xlfn.IFNA(VLOOKUP(A85,Advertisers!$A$5:$B$29,2,FALSE),"Missing advertiser")</x:f>
        <x:v>Synthetic advertiser 23</x:v>
      </x:c>
      <x:c r="D85" s="7" t="n">
        <x:v>214</x:v>
      </x:c>
      <x:c r="E85" s="7" t="n">
        <x:v>3</x:v>
      </x:c>
      <x:c r="F85" s="6" t="n">
        <x:f>IF(D85=0,"n.a.",E85/D85)</x:f>
        <x:v>0.014018691588785047</x:v>
      </x:c>
      <x:c r="G85" s="1" t="str">
        <x:v>Review with confidence interval and campaign objective</x:v>
      </x:c>
      <x:c r="H85" s="3"/>
      <x:c r="I85" s="3" t="str">
        <x:v>Unreviewed</x:v>
      </x:c>
      <x:c r="J85" s="1"/>
    </x:row>
    <x:row r="86" ht="21" customHeight="1">
      <x:c r="A86" s="1" t="n">
        <x:v>23</x:v>
      </x:c>
      <x:c r="B86" s="1" t="n">
        <x:v>81</x:v>
      </x:c>
      <x:c r="C86" s="1" t="str">
        <x:f>_xlfn.IFNA(VLOOKUP(A86,Advertisers!$A$5:$B$29,2,FALSE),"Missing advertiser")</x:f>
        <x:v>Synthetic advertiser 23</x:v>
      </x:c>
      <x:c r="D86" s="7" t="n">
        <x:v>244</x:v>
      </x:c>
      <x:c r="E86" s="7" t="n">
        <x:v>0</x:v>
      </x:c>
      <x:c r="F86" s="6" t="n">
        <x:f>IF(D86=0,"n.a.",E86/D86)</x:f>
        <x:v>0</x:v>
      </x:c>
      <x:c r="G86" s="1" t="str">
        <x:v>No observed clicks; investigate sample size</x:v>
      </x:c>
      <x:c r="H86" s="3"/>
      <x:c r="I86" s="3" t="str">
        <x:v>Unreviewed</x:v>
      </x:c>
      <x:c r="J86" s="1"/>
    </x:row>
    <x:row r="87" ht="21" customHeight="1">
      <x:c r="A87" s="1" t="n">
        <x:v>24</x:v>
      </x:c>
      <x:c r="B87" s="1" t="n">
        <x:v>82</x:v>
      </x:c>
      <x:c r="C87" s="1" t="str">
        <x:f>_xlfn.IFNA(VLOOKUP(A87,Advertisers!$A$5:$B$29,2,FALSE),"Missing advertiser")</x:f>
        <x:v>Synthetic advertiser 24</x:v>
      </x:c>
      <x:c r="D87" s="7" t="n">
        <x:v>367</x:v>
      </x:c>
      <x:c r="E87" s="7" t="n">
        <x:v>5</x:v>
      </x:c>
      <x:c r="F87" s="6" t="n">
        <x:f>IF(D87=0,"n.a.",E87/D87)</x:f>
        <x:v>0.013623978201634877</x:v>
      </x:c>
      <x:c r="G87" s="1" t="str">
        <x:v>Review with confidence interval and campaign objective</x:v>
      </x:c>
      <x:c r="H87" s="3"/>
      <x:c r="I87" s="3" t="str">
        <x:v>Unreviewed</x:v>
      </x:c>
      <x:c r="J87" s="1"/>
    </x:row>
    <x:row r="88" ht="21" customHeight="1">
      <x:c r="A88" s="1" t="n">
        <x:v>25</x:v>
      </x:c>
      <x:c r="B88" s="1" t="n">
        <x:v>83</x:v>
      </x:c>
      <x:c r="C88" s="1" t="str">
        <x:f>_xlfn.IFNA(VLOOKUP(A88,Advertisers!$A$5:$B$29,2,FALSE),"Missing advertiser")</x:f>
        <x:v>Synthetic advertiser 25</x:v>
      </x:c>
      <x:c r="D88" s="7" t="n">
        <x:v>108</x:v>
      </x:c>
      <x:c r="E88" s="7" t="n">
        <x:v>2</x:v>
      </x:c>
      <x:c r="F88" s="6" t="n">
        <x:f>IF(D88=0,"n.a.",E88/D88)</x:f>
        <x:v>0.018518518518518517</x:v>
      </x:c>
      <x:c r="G88" s="1" t="str">
        <x:v>Review with confidence interval and campaign objective</x:v>
      </x:c>
      <x:c r="H88" s="3"/>
      <x:c r="I88" s="3" t="str">
        <x:v>Unreviewed</x:v>
      </x:c>
      <x:c r="J88" s="1"/>
    </x:row>
    <x:row r="89" ht="21" customHeight="1">
      <x:c r="A89" s="1" t="n">
        <x:v>25</x:v>
      </x:c>
      <x:c r="B89" s="1" t="n">
        <x:v>84</x:v>
      </x:c>
      <x:c r="C89" s="1" t="str">
        <x:f>_xlfn.IFNA(VLOOKUP(A89,Advertisers!$A$5:$B$29,2,FALSE),"Missing advertiser")</x:f>
        <x:v>Synthetic advertiser 25</x:v>
      </x:c>
      <x:c r="D89" s="7" t="n">
        <x:v>474</x:v>
      </x:c>
      <x:c r="E89" s="7" t="n">
        <x:v>14</x:v>
      </x:c>
      <x:c r="F89" s="6" t="n">
        <x:f>IF(D89=0,"n.a.",E89/D89)</x:f>
        <x:v>0.029535864978902954</x:v>
      </x:c>
      <x:c r="G89" s="1" t="str">
        <x:v>Review with confidence interval and campaign objective</x:v>
      </x:c>
      <x:c r="H89" s="3"/>
      <x:c r="I89" s="3" t="str">
        <x:v>Unreviewed</x:v>
      </x:c>
      <x:c r="J89" s="1"/>
    </x:row>
    <x:row r="90" ht="21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 ht="21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 ht="21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 ht="21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 ht="21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 ht="21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 ht="21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 ht="21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 ht="21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 ht="21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 ht="21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r="101" ht="21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</x:row>
    <x:row r="102" ht="21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 ht="21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 ht="21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 ht="21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 ht="21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 ht="21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 ht="21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 ht="21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 ht="21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</x:sheetData>
  <x:dataValidations count="1">
    <x:dataValidation type="list" sqref="I6:I89">
      <x:formula1>"Unreviewed,Investigating,Resolved"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b90f58357445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1" customHeight="1">
      <x:c r="A2" s="2" t="str">
        <x:v>Advertiser lookup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1" customHeight="1">
      <x:c r="A3" s="1" t="str">
        <x:v>Source: seeded synthetic advertiser dimension, generator version 2.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5" customHeight="1">
      <x:c r="A4" s="5" t="str">
        <x:v>Advertiser ID</x:v>
      </x:c>
      <x:c r="B4" s="5" t="str">
        <x:v>Advertiser</x:v>
      </x:c>
      <x:c r="C4" s="1"/>
      <x:c r="D4" s="1"/>
      <x:c r="E4" s="1"/>
      <x:c r="F4" s="1"/>
      <x:c r="G4" s="1"/>
      <x:c r="H4" s="1"/>
      <x:c r="I4" s="1"/>
      <x:c r="J4" s="1"/>
    </x:row>
    <x:row r="5" ht="21" customHeight="1">
      <x:c r="A5" s="1" t="n">
        <x:v>1</x:v>
      </x:c>
      <x:c r="B5" s="1" t="str">
        <x:v>Synthetic advertiser 1</x:v>
      </x:c>
      <x:c r="C5" s="1"/>
      <x:c r="D5" s="1"/>
      <x:c r="E5" s="1"/>
      <x:c r="F5" s="1"/>
      <x:c r="G5" s="1"/>
      <x:c r="H5" s="1"/>
      <x:c r="I5" s="1"/>
      <x:c r="J5" s="1"/>
    </x:row>
    <x:row r="6" ht="21" customHeight="1">
      <x:c r="A6" s="1" t="n">
        <x:v>2</x:v>
      </x:c>
      <x:c r="B6" s="1" t="str">
        <x:v>Synthetic advertiser 2</x:v>
      </x:c>
      <x:c r="C6" s="1"/>
      <x:c r="D6" s="1"/>
      <x:c r="E6" s="1"/>
      <x:c r="F6" s="1"/>
      <x:c r="G6" s="1"/>
      <x:c r="H6" s="1"/>
      <x:c r="I6" s="1"/>
      <x:c r="J6" s="1"/>
    </x:row>
    <x:row r="7" ht="21" customHeight="1">
      <x:c r="A7" s="1" t="n">
        <x:v>3</x:v>
      </x:c>
      <x:c r="B7" s="1" t="str">
        <x:v>Synthetic advertiser 3</x:v>
      </x:c>
      <x:c r="C7" s="1"/>
      <x:c r="D7" s="1"/>
      <x:c r="E7" s="1"/>
      <x:c r="F7" s="1"/>
      <x:c r="G7" s="1"/>
      <x:c r="H7" s="1"/>
      <x:c r="I7" s="1"/>
      <x:c r="J7" s="1"/>
    </x:row>
    <x:row r="8" ht="21" customHeight="1">
      <x:c r="A8" s="1" t="n">
        <x:v>4</x:v>
      </x:c>
      <x:c r="B8" s="1" t="str">
        <x:v>Synthetic advertiser 4</x:v>
      </x:c>
      <x:c r="C8" s="1"/>
      <x:c r="D8" s="1"/>
      <x:c r="E8" s="1"/>
      <x:c r="F8" s="1"/>
      <x:c r="G8" s="1"/>
      <x:c r="H8" s="1"/>
      <x:c r="I8" s="1"/>
      <x:c r="J8" s="1"/>
    </x:row>
    <x:row r="9" ht="21" customHeight="1">
      <x:c r="A9" s="1" t="n">
        <x:v>5</x:v>
      </x:c>
      <x:c r="B9" s="1" t="str">
        <x:v>Synthetic advertiser 5</x:v>
      </x:c>
      <x:c r="C9" s="1"/>
      <x:c r="D9" s="1"/>
      <x:c r="E9" s="1"/>
      <x:c r="F9" s="1"/>
      <x:c r="G9" s="1"/>
      <x:c r="H9" s="1"/>
      <x:c r="I9" s="1"/>
      <x:c r="J9" s="1"/>
    </x:row>
    <x:row r="10" ht="21" customHeight="1">
      <x:c r="A10" s="1" t="n">
        <x:v>6</x:v>
      </x:c>
      <x:c r="B10" s="1" t="str">
        <x:v>Synthetic advertiser 6</x:v>
      </x:c>
      <x:c r="C10" s="1"/>
      <x:c r="D10" s="1"/>
      <x:c r="E10" s="1"/>
      <x:c r="F10" s="1"/>
      <x:c r="G10" s="1"/>
      <x:c r="H10" s="1"/>
      <x:c r="I10" s="1"/>
      <x:c r="J10" s="1"/>
    </x:row>
    <x:row r="11" ht="21" customHeight="1">
      <x:c r="A11" s="1" t="n">
        <x:v>7</x:v>
      </x:c>
      <x:c r="B11" s="1" t="str">
        <x:v>Synthetic advertiser 7</x:v>
      </x:c>
      <x:c r="C11" s="1"/>
      <x:c r="D11" s="1"/>
      <x:c r="E11" s="1"/>
      <x:c r="F11" s="1"/>
      <x:c r="G11" s="1"/>
      <x:c r="H11" s="1"/>
      <x:c r="I11" s="1"/>
      <x:c r="J11" s="1"/>
    </x:row>
    <x:row r="12" ht="21" customHeight="1">
      <x:c r="A12" s="1" t="n">
        <x:v>8</x:v>
      </x:c>
      <x:c r="B12" s="1" t="str">
        <x:v>Synthetic advertiser 8</x:v>
      </x:c>
      <x:c r="C12" s="1"/>
      <x:c r="D12" s="1"/>
      <x:c r="E12" s="1"/>
      <x:c r="F12" s="1"/>
      <x:c r="G12" s="1"/>
      <x:c r="H12" s="1"/>
      <x:c r="I12" s="1"/>
      <x:c r="J12" s="1"/>
    </x:row>
    <x:row r="13" ht="21" customHeight="1">
      <x:c r="A13" s="1" t="n">
        <x:v>9</x:v>
      </x:c>
      <x:c r="B13" s="1" t="str">
        <x:v>Synthetic advertiser 9</x:v>
      </x:c>
      <x:c r="C13" s="1"/>
      <x:c r="D13" s="1"/>
      <x:c r="E13" s="1"/>
      <x:c r="F13" s="1"/>
      <x:c r="G13" s="1"/>
      <x:c r="H13" s="1"/>
      <x:c r="I13" s="1"/>
      <x:c r="J13" s="1"/>
    </x:row>
    <x:row r="14" ht="21" customHeight="1">
      <x:c r="A14" s="1" t="n">
        <x:v>10</x:v>
      </x:c>
      <x:c r="B14" s="1" t="str">
        <x:v>Synthetic advertiser 10</x:v>
      </x:c>
      <x:c r="C14" s="1"/>
      <x:c r="D14" s="1"/>
      <x:c r="E14" s="1"/>
      <x:c r="F14" s="1"/>
      <x:c r="G14" s="1"/>
      <x:c r="H14" s="1"/>
      <x:c r="I14" s="1"/>
      <x:c r="J14" s="1"/>
    </x:row>
    <x:row r="15" ht="21" customHeight="1">
      <x:c r="A15" s="1" t="n">
        <x:v>11</x:v>
      </x:c>
      <x:c r="B15" s="1" t="str">
        <x:v>Synthetic advertiser 11</x:v>
      </x:c>
      <x:c r="C15" s="1"/>
      <x:c r="D15" s="1"/>
      <x:c r="E15" s="1"/>
      <x:c r="F15" s="1"/>
      <x:c r="G15" s="1"/>
      <x:c r="H15" s="1"/>
      <x:c r="I15" s="1"/>
      <x:c r="J15" s="1"/>
    </x:row>
    <x:row r="16" ht="21" customHeight="1">
      <x:c r="A16" s="1" t="n">
        <x:v>12</x:v>
      </x:c>
      <x:c r="B16" s="1" t="str">
        <x:v>Synthetic advertiser 12</x:v>
      </x:c>
      <x:c r="C16" s="1"/>
      <x:c r="D16" s="1"/>
      <x:c r="E16" s="1"/>
      <x:c r="F16" s="1"/>
      <x:c r="G16" s="1"/>
      <x:c r="H16" s="1"/>
      <x:c r="I16" s="1"/>
      <x:c r="J16" s="1"/>
    </x:row>
    <x:row r="17" ht="21" customHeight="1">
      <x:c r="A17" s="1" t="n">
        <x:v>13</x:v>
      </x:c>
      <x:c r="B17" s="1" t="str">
        <x:v>Synthetic advertiser 13</x:v>
      </x:c>
      <x:c r="C17" s="1"/>
      <x:c r="D17" s="1"/>
      <x:c r="E17" s="1"/>
      <x:c r="F17" s="1"/>
      <x:c r="G17" s="1"/>
      <x:c r="H17" s="1"/>
      <x:c r="I17" s="1"/>
      <x:c r="J17" s="1"/>
    </x:row>
    <x:row r="18" ht="21" customHeight="1">
      <x:c r="A18" s="1" t="n">
        <x:v>14</x:v>
      </x:c>
      <x:c r="B18" s="1" t="str">
        <x:v>Synthetic advertiser 14</x:v>
      </x:c>
      <x:c r="C18" s="1"/>
      <x:c r="D18" s="1"/>
      <x:c r="E18" s="1"/>
      <x:c r="F18" s="1"/>
      <x:c r="G18" s="1"/>
      <x:c r="H18" s="1"/>
      <x:c r="I18" s="1"/>
      <x:c r="J18" s="1"/>
    </x:row>
    <x:row r="19" ht="21" customHeight="1">
      <x:c r="A19" s="1" t="n">
        <x:v>15</x:v>
      </x:c>
      <x:c r="B19" s="1" t="str">
        <x:v>Synthetic advertiser 15</x:v>
      </x:c>
      <x:c r="C19" s="1"/>
      <x:c r="D19" s="1"/>
      <x:c r="E19" s="1"/>
      <x:c r="F19" s="1"/>
      <x:c r="G19" s="1"/>
      <x:c r="H19" s="1"/>
      <x:c r="I19" s="1"/>
      <x:c r="J19" s="1"/>
    </x:row>
    <x:row r="20" ht="21" customHeight="1">
      <x:c r="A20" s="1" t="n">
        <x:v>16</x:v>
      </x:c>
      <x:c r="B20" s="1" t="str">
        <x:v>Synthetic advertiser 16</x:v>
      </x:c>
      <x:c r="C20" s="1"/>
      <x:c r="D20" s="1"/>
      <x:c r="E20" s="1"/>
      <x:c r="F20" s="1"/>
      <x:c r="G20" s="1"/>
      <x:c r="H20" s="1"/>
      <x:c r="I20" s="1"/>
      <x:c r="J20" s="1"/>
    </x:row>
    <x:row r="21" ht="21" customHeight="1">
      <x:c r="A21" s="1" t="n">
        <x:v>17</x:v>
      </x:c>
      <x:c r="B21" s="1" t="str">
        <x:v>Synthetic advertiser 17</x:v>
      </x:c>
      <x:c r="C21" s="1"/>
      <x:c r="D21" s="1"/>
      <x:c r="E21" s="1"/>
      <x:c r="F21" s="1"/>
      <x:c r="G21" s="1"/>
      <x:c r="H21" s="1"/>
      <x:c r="I21" s="1"/>
      <x:c r="J21" s="1"/>
    </x:row>
    <x:row r="22" ht="21" customHeight="1">
      <x:c r="A22" s="1" t="n">
        <x:v>18</x:v>
      </x:c>
      <x:c r="B22" s="1" t="str">
        <x:v>Synthetic advertiser 18</x:v>
      </x:c>
      <x:c r="C22" s="1"/>
      <x:c r="D22" s="1"/>
      <x:c r="E22" s="1"/>
      <x:c r="F22" s="1"/>
      <x:c r="G22" s="1"/>
      <x:c r="H22" s="1"/>
      <x:c r="I22" s="1"/>
      <x:c r="J22" s="1"/>
    </x:row>
    <x:row r="23" ht="21" customHeight="1">
      <x:c r="A23" s="1" t="n">
        <x:v>19</x:v>
      </x:c>
      <x:c r="B23" s="1" t="str">
        <x:v>Synthetic advertiser 19</x:v>
      </x:c>
      <x:c r="C23" s="1"/>
      <x:c r="D23" s="1"/>
      <x:c r="E23" s="1"/>
      <x:c r="F23" s="1"/>
      <x:c r="G23" s="1"/>
      <x:c r="H23" s="1"/>
      <x:c r="I23" s="1"/>
      <x:c r="J23" s="1"/>
    </x:row>
    <x:row r="24" ht="21" customHeight="1">
      <x:c r="A24" s="1" t="n">
        <x:v>20</x:v>
      </x:c>
      <x:c r="B24" s="1" t="str">
        <x:v>Synthetic advertiser 20</x:v>
      </x:c>
      <x:c r="C24" s="1"/>
      <x:c r="D24" s="1"/>
      <x:c r="E24" s="1"/>
      <x:c r="F24" s="1"/>
      <x:c r="G24" s="1"/>
      <x:c r="H24" s="1"/>
      <x:c r="I24" s="1"/>
      <x:c r="J24" s="1"/>
    </x:row>
    <x:row r="25" ht="21" customHeight="1">
      <x:c r="A25" s="1" t="n">
        <x:v>21</x:v>
      </x:c>
      <x:c r="B25" s="1" t="str">
        <x:v>Synthetic advertiser 21</x:v>
      </x:c>
      <x:c r="C25" s="1"/>
      <x:c r="D25" s="1"/>
      <x:c r="E25" s="1"/>
      <x:c r="F25" s="1"/>
      <x:c r="G25" s="1"/>
      <x:c r="H25" s="1"/>
      <x:c r="I25" s="1"/>
      <x:c r="J25" s="1"/>
    </x:row>
    <x:row r="26" ht="21" customHeight="1">
      <x:c r="A26" s="1" t="n">
        <x:v>22</x:v>
      </x:c>
      <x:c r="B26" s="1" t="str">
        <x:v>Synthetic advertiser 22</x:v>
      </x:c>
      <x:c r="C26" s="1"/>
      <x:c r="D26" s="1"/>
      <x:c r="E26" s="1"/>
      <x:c r="F26" s="1"/>
      <x:c r="G26" s="1"/>
      <x:c r="H26" s="1"/>
      <x:c r="I26" s="1"/>
      <x:c r="J26" s="1"/>
    </x:row>
    <x:row r="27" ht="21" customHeight="1">
      <x:c r="A27" s="1" t="n">
        <x:v>23</x:v>
      </x:c>
      <x:c r="B27" s="1" t="str">
        <x:v>Synthetic advertiser 23</x:v>
      </x:c>
      <x:c r="C27" s="1"/>
      <x:c r="D27" s="1"/>
      <x:c r="E27" s="1"/>
      <x:c r="F27" s="1"/>
      <x:c r="G27" s="1"/>
      <x:c r="H27" s="1"/>
      <x:c r="I27" s="1"/>
      <x:c r="J27" s="1"/>
    </x:row>
    <x:row r="28" ht="21" customHeight="1">
      <x:c r="A28" s="1" t="n">
        <x:v>24</x:v>
      </x:c>
      <x:c r="B28" s="1" t="str">
        <x:v>Synthetic advertiser 24</x:v>
      </x:c>
      <x:c r="C28" s="1"/>
      <x:c r="D28" s="1"/>
      <x:c r="E28" s="1"/>
      <x:c r="F28" s="1"/>
      <x:c r="G28" s="1"/>
      <x:c r="H28" s="1"/>
      <x:c r="I28" s="1"/>
      <x:c r="J28" s="1"/>
    </x:row>
    <x:row r="29" ht="21" customHeight="1">
      <x:c r="A29" s="1" t="n">
        <x:v>25</x:v>
      </x:c>
      <x:c r="B29" s="1" t="str">
        <x:v>Synthetic advertiser 25</x:v>
      </x:c>
      <x:c r="C29" s="1"/>
      <x:c r="D29" s="1"/>
      <x:c r="E29" s="1"/>
      <x:c r="F29" s="1"/>
      <x:c r="G29" s="1"/>
      <x:c r="H29" s="1"/>
      <x:c r="I29" s="1"/>
      <x:c r="J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 ht="21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 ht="21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 ht="21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 ht="21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 ht="21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 ht="21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 ht="21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 ht="21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 ht="21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 ht="21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 ht="21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 ht="21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 ht="21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 ht="21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 ht="21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 ht="21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 ht="21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 ht="21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 ht="21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 ht="21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r="101" ht="21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</x:row>
    <x:row r="102" ht="21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 ht="21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 ht="21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 ht="21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 ht="21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 ht="21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 ht="21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 ht="21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 ht="21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</x:sheetData>
  <x:pageMargins left="0.7" right="0.7" top="0.75" bottom="0.75" header="0.3" footer="0.3"/>
</x:worksheet>
</file>